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ownCloud\scripts\hil-test-case-gen\data\"/>
    </mc:Choice>
  </mc:AlternateContent>
  <xr:revisionPtr revIDLastSave="0" documentId="13_ncr:1_{0B1E7971-FA0F-413D-B1C6-51B4632073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2" i="1" a="1"/>
  <c r="J2" i="1" s="1"/>
  <c r="K61" i="1" a="1"/>
  <c r="K61" i="1" s="1"/>
  <c r="K60" i="1" a="1"/>
  <c r="K60" i="1" s="1"/>
  <c r="K59" i="1" a="1"/>
  <c r="K59" i="1" s="1"/>
  <c r="K58" i="1" a="1"/>
  <c r="K58" i="1" s="1"/>
  <c r="K57" i="1" a="1"/>
  <c r="K57" i="1" s="1"/>
  <c r="K56" i="1" a="1"/>
  <c r="K56" i="1" s="1"/>
  <c r="K55" i="1" a="1"/>
  <c r="K55" i="1" s="1"/>
  <c r="K54" i="1" a="1"/>
  <c r="K54" i="1" s="1"/>
  <c r="K53" i="1" a="1"/>
  <c r="K53" i="1" s="1"/>
  <c r="K52" i="1" a="1"/>
  <c r="K52" i="1" s="1"/>
  <c r="K51" i="1" a="1"/>
  <c r="K51" i="1" s="1"/>
  <c r="K50" i="1" a="1"/>
  <c r="K50" i="1" s="1"/>
  <c r="K49" i="1" a="1"/>
  <c r="K49" i="1" s="1"/>
  <c r="K48" i="1" a="1"/>
  <c r="K48" i="1" s="1"/>
  <c r="K47" i="1" a="1"/>
  <c r="K47" i="1" s="1"/>
  <c r="K46" i="1" a="1"/>
  <c r="K46" i="1" s="1"/>
  <c r="K45" i="1" a="1"/>
  <c r="K45" i="1" s="1"/>
  <c r="K44" i="1" a="1"/>
  <c r="K44" i="1" s="1"/>
  <c r="K43" i="1" a="1"/>
  <c r="K43" i="1" s="1"/>
  <c r="K42" i="1" a="1"/>
  <c r="K42" i="1" s="1"/>
  <c r="K41" i="1" a="1"/>
  <c r="K41" i="1" s="1"/>
  <c r="K40" i="1" a="1"/>
  <c r="K40" i="1" s="1"/>
  <c r="K39" i="1" a="1"/>
  <c r="K39" i="1" s="1"/>
  <c r="K38" i="1" a="1"/>
  <c r="K38" i="1" s="1"/>
  <c r="K37" i="1" a="1"/>
  <c r="K37" i="1" s="1"/>
  <c r="K36" i="1" a="1"/>
  <c r="K36" i="1" s="1"/>
  <c r="K35" i="1" a="1"/>
  <c r="K35" i="1" s="1"/>
  <c r="K34" i="1" a="1"/>
  <c r="K34" i="1" s="1"/>
  <c r="K33" i="1" a="1"/>
  <c r="K33" i="1" s="1"/>
  <c r="K32" i="1" a="1"/>
  <c r="K32" i="1" s="1"/>
  <c r="K31" i="1" a="1"/>
  <c r="K31" i="1" s="1"/>
  <c r="K30" i="1" a="1"/>
  <c r="K30" i="1" s="1"/>
  <c r="K29" i="1" a="1"/>
  <c r="K29" i="1" s="1"/>
  <c r="K28" i="1" a="1"/>
  <c r="K28" i="1" s="1"/>
  <c r="K27" i="1" a="1"/>
  <c r="K27" i="1" s="1"/>
  <c r="K26" i="1" a="1"/>
  <c r="K26" i="1" s="1"/>
  <c r="K25" i="1" a="1"/>
  <c r="K25" i="1" s="1"/>
  <c r="K24" i="1" a="1"/>
  <c r="K24" i="1" s="1"/>
  <c r="K23" i="1" a="1"/>
  <c r="K23" i="1" s="1"/>
  <c r="K22" i="1" a="1"/>
  <c r="K22" i="1" s="1"/>
  <c r="K21" i="1" a="1"/>
  <c r="K21" i="1" s="1"/>
  <c r="K20" i="1" a="1"/>
  <c r="K20" i="1" s="1"/>
  <c r="K19" i="1" a="1"/>
  <c r="K19" i="1" s="1"/>
  <c r="K18" i="1" a="1"/>
  <c r="K18" i="1" s="1"/>
  <c r="K17" i="1" a="1"/>
  <c r="K17" i="1" s="1"/>
  <c r="K16" i="1" a="1"/>
  <c r="K16" i="1" s="1"/>
  <c r="K15" i="1" a="1"/>
  <c r="K15" i="1" s="1"/>
  <c r="K14" i="1" a="1"/>
  <c r="K14" i="1" s="1"/>
  <c r="K13" i="1" a="1"/>
  <c r="K13" i="1" s="1"/>
  <c r="K12" i="1" a="1"/>
  <c r="K12" i="1" s="1"/>
  <c r="K11" i="1" a="1"/>
  <c r="K11" i="1" s="1"/>
  <c r="K10" i="1" a="1"/>
  <c r="K10" i="1" s="1"/>
  <c r="K9" i="1" a="1"/>
  <c r="K9" i="1" s="1"/>
  <c r="K8" i="1" a="1"/>
  <c r="K8" i="1" s="1"/>
  <c r="K7" i="1" a="1"/>
  <c r="K7" i="1" s="1"/>
  <c r="K6" i="1" a="1"/>
  <c r="K6" i="1" s="1"/>
  <c r="K5" i="1" a="1"/>
  <c r="K5" i="1" s="1"/>
  <c r="K4" i="1" a="1"/>
  <c r="K4" i="1" s="1"/>
  <c r="K3" i="1" a="1"/>
  <c r="K3" i="1" s="1"/>
  <c r="K2" i="1" a="1"/>
  <c r="K2" i="1" s="1"/>
  <c r="K62" i="1" a="1"/>
  <c r="K6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<sst xmlns="http://schemas.openxmlformats.org/spreadsheetml/2006/main" count="260" uniqueCount="109">
  <si>
    <t>idx</t>
  </si>
  <si>
    <t>requirement</t>
  </si>
  <si>
    <t>true_vector</t>
  </si>
  <si>
    <t>ai_response</t>
  </si>
  <si>
    <t>pred_vector</t>
  </si>
  <si>
    <t>accuracy</t>
  </si>
  <si>
    <t>completion_tokens</t>
  </si>
  <si>
    <t>prompt_tokens</t>
  </si>
  <si>
    <t>total_tokens</t>
  </si>
  <si>
    <t>The vehicle control system must include electronic signal filtering to mitigate the effects of electromagnetic interference (EMI) on sensor signals</t>
  </si>
  <si>
    <t>[1,0,0,0,0]</t>
  </si>
  <si>
    <t>Vector1: [0,0,0,0,0]</t>
  </si>
  <si>
    <t>[0,0,0,0,0]</t>
  </si>
  <si>
    <t>The ECU must perform self-diagnostics to ensure its health and operational integrity at startup and during operation</t>
  </si>
  <si>
    <t>Secure communication protocols must be implemented to prevent unauthorized access or tampering with drive-by-wire signals</t>
  </si>
  <si>
    <t>The system must monitor its power supply and have a backup to maintain functionality in the event of a power interruption</t>
  </si>
  <si>
    <t>The sensor must maintain calibration over time and under variable environmental conditions without the need for frequent re-calibration</t>
  </si>
  <si>
    <t>[0,1,0,0,0]</t>
  </si>
  <si>
    <t>Vector#: [0,0,1,0,0]</t>
  </si>
  <si>
    <t>[0,0,1,0,0]</t>
  </si>
  <si>
    <t>In case of sensor failure, the system must revert to a fail-safe mode that allows for controlled and safe vehicle operation</t>
  </si>
  <si>
    <t>Vector#: [0,0,0,0,0]</t>
  </si>
  <si>
    <t>The steering system  must transfer the driver's input with minimal torsional deflection to ensure accurate steering input</t>
  </si>
  <si>
    <t>Vector1: [0, 0, 0, 0, 1]</t>
  </si>
  <si>
    <t>[0,0,0,0,1]</t>
  </si>
  <si>
    <t>The steering system must provide consistent feedback to the driver under various driving conditions</t>
  </si>
  <si>
    <t>Vector1: [0,0,0,0,1]</t>
  </si>
  <si>
    <t>In case of power steering failure, the system should allow for manual steering control with an acceptable increase in effort</t>
  </si>
  <si>
    <t>The steering system must include mechanisms to damp excessive vibrations from being transmitted to the steering wheel</t>
  </si>
  <si>
    <t>Power steering systems must provide the correct level of assist to the driver, adjusting based on vehicle speed and steering angle</t>
  </si>
  <si>
    <t>EPS systems must include fault detection mechanisms that alert the driver to malfunctions and, where possible, provide a fail-operational mode</t>
  </si>
  <si>
    <t>Vector#: [0,0,0,0,1]</t>
  </si>
  <si>
    <t>Systems must monitor for hydraulic fluid contamination and deterioration, providing maintenance alerts as needed</t>
  </si>
  <si>
    <t>In the event of power steering failure, the vehicle must still be steerable by manual means, although increased effort may be required</t>
  </si>
  <si>
    <t>Torque sensors in EPS systems must be calibrated to accurately measure driver input, ensuring appropriate steering assist</t>
  </si>
  <si>
    <t>Power steering systems, whether hydraulic or electronic, must operate effectively in a wide range of environmental conditions, including extreme temperatures</t>
  </si>
  <si>
    <t>The steering system must provide tactile feedback to the driver that is proportional to the driving conditions and steering input</t>
  </si>
  <si>
    <t>Steering systems must be capable of handling the expected range of loads without failure or excessive play developing over time</t>
  </si>
  <si>
    <t>Vector#: [0,1,0,0,1]</t>
  </si>
  <si>
    <t>[0,1,0,0,1]</t>
  </si>
  <si>
    <t>In the absence of power assist, the manual steering effort required should comply with safety standards to ensure that the vehicle can still be controlled</t>
  </si>
  <si>
    <t>The vehicle must provide appropriate feedback to the driver through the steering mechanism, allowing for intuitive assessment of road conditions and vehicle behavior</t>
  </si>
  <si>
    <t>Power steering assistance should be consistent across different steering angles and not impair the driver's ability to perform smooth cornering maneuvers</t>
  </si>
  <si>
    <t>The steering system must provide consistent feedback to the driver, regardless of interventions from safety and assistance systems</t>
  </si>
  <si>
    <t>The steering system should adapt sensitivity based on vehicle speed, with lower sensitivity at higher speeds for improved steering stability</t>
  </si>
  <si>
    <t>Vector1: [0,1,1,0,0]</t>
  </si>
  <si>
    <t>[0,1,1,0,0]</t>
  </si>
  <si>
    <t>The steering system must provide adequate feedback to the driver to convey the status of the steering control, especially in the event of a system degradation</t>
  </si>
  <si>
    <t>The system shall retain fault information in memory to aid in diagnostics and troubleshooting even after the vehicle is turned off</t>
  </si>
  <si>
    <t>The vehicle's control system must adjust braking and acceleration to optimize tire grip during winter driving conditions</t>
  </si>
  <si>
    <t>Vector#: [1,0,0,0,0]</t>
  </si>
  <si>
    <t>In the event of understeer, the system must adjust power distribution and braking to aid in returning to the intended path</t>
  </si>
  <si>
    <t>[0,0,0,1,0]</t>
  </si>
  <si>
    <t>Stability control systems must be responsive during cornering to counteract any excessive torsional force that may upset vehicle balance</t>
  </si>
  <si>
    <t>Vector1: [0, 1, 0, 0, 0]</t>
  </si>
  <si>
    <t>Traction control systems must adapt to varying road surfaces to maintain tire grip and vehicle control</t>
  </si>
  <si>
    <t>Vector1: [0,0,1,0,0]</t>
  </si>
  <si>
    <t>The vehicle's onboard systems must continuously analyze dynamic behavior and adjust stability and traction controls accordingly</t>
  </si>
  <si>
    <t>Vector1: [0,0,1,1,0]</t>
  </si>
  <si>
    <t>[0,0,1,1,0]</t>
  </si>
  <si>
    <t>The steering system must adjust the torque assist based on the vehicle's speed to ensure appropriate steering feedback and control</t>
  </si>
  <si>
    <t>Vector#: [0,0,1,0,1]</t>
  </si>
  <si>
    <t>[0,0,1,0,1]</t>
  </si>
  <si>
    <t>The system must monitor tire grip levels and adjust steering torque to compensate for changes in grip</t>
  </si>
  <si>
    <t>Vector1: [0,0,1,0,1]</t>
  </si>
  <si>
    <t>The steering system must adapt the torque levels in response to detected road surface conditions (e.g., ice, water, gravel)</t>
  </si>
  <si>
    <t>The steering system must perform consistently across a range of environmental conditions, including temperature extremes and humidity</t>
  </si>
  <si>
    <t>Vector1: [0,1,0,0,0]</t>
  </si>
  <si>
    <t>The steering system should adapt the steering feel according to the driving mode selected (e.g., comfort vs. sporty)</t>
  </si>
  <si>
    <t>Vector#: [0,1,0,0,0]</t>
  </si>
  <si>
    <t>The system must adjust steering sensitivity in real-time based on vehicle speed, steering angle, and driver input</t>
  </si>
  <si>
    <t>The steering system must have a redundant mechanism to maintain steering control in the event of a single point of failure</t>
  </si>
  <si>
    <t>The steering system must maintain optimal feedback and performance under various environmental conditions, including temperature and humidity extremes</t>
  </si>
  <si>
    <t>The steering system should be capable of providing haptic feedback to alert the driver of potential hazards or system states</t>
  </si>
  <si>
    <t>The response of the steering system to sensor input must not exceed a specified time limit to ensure timely intervention by ESC and Lane Keeping Assist systems</t>
  </si>
  <si>
    <t>In case of steering system electronic failures, the system must ensure the retention of emergency manual steering control</t>
  </si>
  <si>
    <t>The vehicle's onboard diagnostic system must alert the driver or technician to any wear or imminent failure of steering components</t>
  </si>
  <si>
    <t>The system should record steering performance data to aid in troubleshooting and predictive maintenance</t>
  </si>
  <si>
    <t>In case of partial system failure, the steering assist must either maintain operation at a reduced level or fail-safe</t>
  </si>
  <si>
    <t>The system must adapt the steering force required in response to vehicle speed and driving conditions</t>
  </si>
  <si>
    <t>Vector1: [0, 1, 1, 0, 0]</t>
  </si>
  <si>
    <t>The steering system must include comprehensive diagnostic capabilities to detect and signal any malfunction</t>
  </si>
  <si>
    <t>The system must enable a manual override allowing the driver to steer without assist in case of system failure</t>
  </si>
  <si>
    <t>Vector1: [0,1,0,0,1]</t>
  </si>
  <si>
    <t>Steering assistance must vary proportionally to the vehicle's cornering speed as influenced by the accelerator pedal position to provide optimal driver feedback and contro</t>
  </si>
  <si>
    <t>[1,1,0,0,0]</t>
  </si>
  <si>
    <t>Vector1: [1,0,0,0,0]</t>
  </si>
  <si>
    <t>The system must compensate for crosswinds by adjusting steering angle and acceleration inputs to maintain the intended cornering path</t>
  </si>
  <si>
    <t>The control system must detect and mitigate power oversteer by adjusting the steering angle and acceleration pedal inputs to maintain vehicle control</t>
  </si>
  <si>
    <t>The vehicle control system must provide feedback for brake modulation through the acceleration pedal to assist with precise steering inputs</t>
  </si>
  <si>
    <t>The vehicle control systems must include adaptive modes that adjust the sensitivity of the steering and acceleration in response to the assessed skill level of the driver</t>
  </si>
  <si>
    <t>Vector1: [1,0,0,0,1]</t>
  </si>
  <si>
    <t>[1,0,0,0,1]</t>
  </si>
  <si>
    <t>Upon throttle lift-off during a lane change, the vehicle control system must adapt steering assistance to maintain a safe trajectory</t>
  </si>
  <si>
    <t>The system should impose steering angle limitations when aggressive acceleration is detected to prevent loss of control during lane changes</t>
  </si>
  <si>
    <t>The control system must have the capability to perform real-time adjustments to both steering and throttle during lane change maneuvers to maintain balance and vehicle poise</t>
  </si>
  <si>
    <t>The steering system must adjust feedback and responsiveness based on real-time traffic conditions data, enhancing control during lane changes in congested areas</t>
  </si>
  <si>
    <t>The lane-keeping assist system must take into account lane congestion to provide appropriate steering assistance, reducing driver fatigue and enhancing safety</t>
  </si>
  <si>
    <t>The system should limit the steering angle during high-speed lane changes on highways to prevent oversteering and loss of control</t>
  </si>
  <si>
    <t>The acceleration control system must use predictive algorithms to smooth out acceleration and deceleration in heavy traffic, reducing the risk of rear-end collisions</t>
  </si>
  <si>
    <t>The vehicle control system shall automatically decelerate when a lane change in heavy traffic is detected without safe distances</t>
  </si>
  <si>
    <t>The vehicle's onboard systems must log steering and acceleration patterns during various traffic scenarios to inform future safety enhancements</t>
  </si>
  <si>
    <t>acceleration_pedal</t>
  </si>
  <si>
    <t>wheel_steering_angle</t>
  </si>
  <si>
    <t>wheel_speed</t>
  </si>
  <si>
    <t>yaw_rate</t>
  </si>
  <si>
    <t>steering_torque</t>
  </si>
  <si>
    <t>PreictedFault</t>
  </si>
  <si>
    <t>TrueFault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</si>
</sst>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6E75F-33A0-451B-A5F4-C15851EF13B5}" name="Table1" displayName="Table1" ref="A1:K62" totalsRowShown="0" headerRowDxfId="0">
  <autoFilter ref="A1:K62" xr:uid="{0AB6E75F-33A0-451B-A5F4-C15851EF13B5}"/>
  <tableColumns count="11">
    <tableColumn id="1" xr3:uid="{48E620B4-7EBF-4341-94F5-C54A745A7F69}" name="idx"/>
    <tableColumn id="2" xr3:uid="{5508679C-47D6-4E14-B730-8BA3E9105DC2}" name="requirement"/>
    <tableColumn id="3" xr3:uid="{49D59C67-F432-4E09-8DF0-F7A5406C78CB}" name="true_vector"/>
    <tableColumn id="4" xr3:uid="{2ED4C8DF-D88A-46B6-8C3F-3DB27BB578DE}" name="ai_response"/>
    <tableColumn id="5" xr3:uid="{D76DAAEB-1148-4479-A591-DE4BC1528995}" name="pred_vector"/>
    <tableColumn id="6" xr3:uid="{90855DF5-AE09-45CE-A68C-692F6BA6D58A}" name="accuracy"/>
    <tableColumn id="7" xr3:uid="{087F7417-86CB-47C0-ADC8-DBD2A8CA5B07}" name="completion_tokens"/>
    <tableColumn id="8" xr3:uid="{81761669-31E3-4BDB-AEED-678C609964B1}" name="prompt_tokens"/>
    <tableColumn id="9" xr3:uid="{A77F7B0E-1021-4CC1-A0EA-CD68A5E0382C}" name="total_tokens"/>
    <tableColumn id="10" xr3:uid="{FAC34452-FF8A-437B-A871-F26AB6F18D56}" name="TrueFault">
      <calculatedColumnFormula array="1">_xlfn.TEXTJOIN(", ",TRUE,IFERROR(INDEX($N$2:$N$6,SEARCH("1",C2)/2),"NA"),IFERROR(INDEX($N$2:$N$6,SEARCH("1",C2,SEARCH("1",C2)+1)/2)," "))</calculatedColumnFormula>
    </tableColumn>
    <tableColumn id="11" xr3:uid="{C39A0DA9-C5B8-4B42-9E89-F3D3F360BA64}" name="PreictedFault">
      <calculatedColumnFormula array="1">_xlfn.TEXTJOIN(", ",TRUE,IFERROR(INDEX($N$2:$N$6,SEARCH("1",E2)/2),"NA"),IFERROR(INDEX($N$2:$N$6,SEARCH("1",E2,SEARCH("1",E2)+1)/2)," "))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topLeftCell="C1" zoomScale="115" zoomScaleNormal="115" workbookViewId="0">
      <selection activeCell="B8" sqref="B8"/>
    </sheetView>
  </sheetViews>
  <sheetFormatPr defaultRowHeight="14.4" x14ac:dyDescent="0.3"/>
  <cols>
    <col min="2" max="2" width="149.109375" bestFit="1" customWidth="1"/>
    <col min="3" max="5" width="19.21875" customWidth="1"/>
    <col min="6" max="6" width="11" customWidth="1"/>
    <col min="7" max="7" width="18.5546875" customWidth="1"/>
    <col min="8" max="8" width="15.21875" customWidth="1"/>
    <col min="9" max="9" width="13" customWidth="1"/>
    <col min="10" max="10" width="35.88671875" bestFit="1" customWidth="1"/>
    <col min="11" max="11" width="33.21875" bestFit="1" customWidth="1"/>
    <col min="12" max="12" width="11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108</v>
      </c>
      <c r="K1" s="3" t="s">
        <v>107</v>
      </c>
    </row>
    <row r="2" spans="1:14" x14ac:dyDescent="0.3">
      <c r="A2">
        <v>14</v>
      </c>
      <c r="B2" t="s">
        <v>9</v>
      </c>
      <c r="C2" t="s">
        <v>10</v>
      </c>
      <c r="D2" t="s">
        <v>11</v>
      </c>
      <c r="E2" t="s">
        <v>12</v>
      </c>
      <c r="F2" t="b">
        <v>0</v>
      </c>
      <c r="G2">
        <v>14</v>
      </c>
      <c r="H2">
        <v>777</v>
      </c>
      <c r="I2">
        <v>791</v>
      </c>
      <c r="J2" t="str" cm="1">
        <f t="array" ref="J2">_xlfn.TEXTJOIN(", ",TRUE,IFERROR(INDEX($N$2:$N$6,SEARCH("1",C2)/2),"NA"),IFERROR(INDEX($N$2:$N$6,SEARCH("1",C2,SEARCH("1",C2)+1)/2)," "))</f>
        <v xml:space="preserve">acceleration_pedal,  </v>
      </c>
      <c r="K2" t="str" cm="1">
        <f t="array" ref="K2">_xlfn.TEXTJOIN(", ",TRUE,IFERROR(INDEX($N$2:$N$6,SEARCH("1",E2)/2),"NA"),IFERROR(INDEX($N$2:$N$6,SEARCH("1",E2,SEARCH("1",E2)+1)/2)," "))</f>
        <v xml:space="preserve">NA,  </v>
      </c>
      <c r="M2">
        <v>1</v>
      </c>
      <c r="N2" t="s">
        <v>102</v>
      </c>
    </row>
    <row r="3" spans="1:14" x14ac:dyDescent="0.3">
      <c r="A3">
        <v>22</v>
      </c>
      <c r="B3" t="s">
        <v>13</v>
      </c>
      <c r="C3" t="s">
        <v>10</v>
      </c>
      <c r="D3" t="s">
        <v>11</v>
      </c>
      <c r="E3" t="s">
        <v>12</v>
      </c>
      <c r="F3" t="b">
        <v>0</v>
      </c>
      <c r="G3">
        <v>14</v>
      </c>
      <c r="H3">
        <v>774</v>
      </c>
      <c r="I3">
        <v>788</v>
      </c>
      <c r="J3" t="str" cm="1">
        <f t="array" ref="J3">_xlfn.TEXTJOIN(", ",TRUE,IFERROR(INDEX($N$2:$N$6,SEARCH("1",C3)/2),"NA"),IFERROR(INDEX($N$2:$N$6,SEARCH("1",C3,SEARCH("1",C3)+1)/2)," "))</f>
        <v xml:space="preserve">acceleration_pedal,  </v>
      </c>
      <c r="K3" t="str" cm="1">
        <f t="array" ref="K3">_xlfn.TEXTJOIN(", ",TRUE,IFERROR(INDEX($N$2:$N$6,SEARCH("1",E3)/2),"NA"),IFERROR(INDEX($N$2:$N$6,SEARCH("1",E3,SEARCH("1",E3)+1)/2)," "))</f>
        <v xml:space="preserve">NA,  </v>
      </c>
      <c r="M3">
        <v>2</v>
      </c>
      <c r="N3" t="s">
        <v>103</v>
      </c>
    </row>
    <row r="4" spans="1:14" x14ac:dyDescent="0.3">
      <c r="A4">
        <v>23</v>
      </c>
      <c r="B4" t="s">
        <v>14</v>
      </c>
      <c r="C4" t="s">
        <v>10</v>
      </c>
      <c r="D4" t="s">
        <v>11</v>
      </c>
      <c r="E4" t="s">
        <v>12</v>
      </c>
      <c r="F4" t="b">
        <v>0</v>
      </c>
      <c r="G4">
        <v>14</v>
      </c>
      <c r="H4">
        <v>773</v>
      </c>
      <c r="I4">
        <v>787</v>
      </c>
      <c r="J4" t="str" cm="1">
        <f t="array" ref="J4">_xlfn.TEXTJOIN(", ",TRUE,IFERROR(INDEX($N$2:$N$6,SEARCH("1",C4)/2),"NA"),IFERROR(INDEX($N$2:$N$6,SEARCH("1",C4,SEARCH("1",C4)+1)/2)," "))</f>
        <v xml:space="preserve">acceleration_pedal,  </v>
      </c>
      <c r="K4" t="str" cm="1">
        <f t="array" ref="K4">_xlfn.TEXTJOIN(", ",TRUE,IFERROR(INDEX($N$2:$N$6,SEARCH("1",E4)/2),"NA"),IFERROR(INDEX($N$2:$N$6,SEARCH("1",E4,SEARCH("1",E4)+1)/2)," "))</f>
        <v xml:space="preserve">NA,  </v>
      </c>
      <c r="M4">
        <v>3</v>
      </c>
      <c r="N4" t="s">
        <v>104</v>
      </c>
    </row>
    <row r="5" spans="1:14" x14ac:dyDescent="0.3">
      <c r="A5">
        <v>24</v>
      </c>
      <c r="B5" t="s">
        <v>15</v>
      </c>
      <c r="C5" t="s">
        <v>10</v>
      </c>
      <c r="D5" t="s">
        <v>11</v>
      </c>
      <c r="E5" t="s">
        <v>12</v>
      </c>
      <c r="F5" t="b">
        <v>0</v>
      </c>
      <c r="G5">
        <v>14</v>
      </c>
      <c r="H5">
        <v>775</v>
      </c>
      <c r="I5">
        <v>789</v>
      </c>
      <c r="J5" t="str" cm="1">
        <f t="array" ref="J5">_xlfn.TEXTJOIN(", ",TRUE,IFERROR(INDEX($N$2:$N$6,SEARCH("1",C5)/2),"NA"),IFERROR(INDEX($N$2:$N$6,SEARCH("1",C5,SEARCH("1",C5)+1)/2)," "))</f>
        <v xml:space="preserve">acceleration_pedal,  </v>
      </c>
      <c r="K5" t="str" cm="1">
        <f t="array" ref="K5">_xlfn.TEXTJOIN(", ",TRUE,IFERROR(INDEX($N$2:$N$6,SEARCH("1",E5)/2),"NA"),IFERROR(INDEX($N$2:$N$6,SEARCH("1",E5,SEARCH("1",E5)+1)/2)," "))</f>
        <v xml:space="preserve">NA,  </v>
      </c>
      <c r="M5">
        <v>4</v>
      </c>
      <c r="N5" t="s">
        <v>105</v>
      </c>
    </row>
    <row r="6" spans="1:14" x14ac:dyDescent="0.3">
      <c r="A6">
        <v>39</v>
      </c>
      <c r="B6" t="s">
        <v>16</v>
      </c>
      <c r="C6" t="s">
        <v>17</v>
      </c>
      <c r="D6" t="s">
        <v>18</v>
      </c>
      <c r="E6" t="s">
        <v>19</v>
      </c>
      <c r="F6" t="b">
        <v>0</v>
      </c>
      <c r="G6">
        <v>13</v>
      </c>
      <c r="H6">
        <v>774</v>
      </c>
      <c r="I6">
        <v>787</v>
      </c>
      <c r="J6" t="str" cm="1">
        <f t="array" ref="J6">_xlfn.TEXTJOIN(", ",TRUE,IFERROR(INDEX($N$2:$N$6,SEARCH("1",C6)/2),"NA"),IFERROR(INDEX($N$2:$N$6,SEARCH("1",C6,SEARCH("1",C6)+1)/2)," "))</f>
        <v xml:space="preserve">wheel_steering_angle,  </v>
      </c>
      <c r="K6" t="str" cm="1">
        <f t="array" ref="K6">_xlfn.TEXTJOIN(", ",TRUE,IFERROR(INDEX($N$2:$N$6,SEARCH("1",E6)/2),"NA"),IFERROR(INDEX($N$2:$N$6,SEARCH("1",E6,SEARCH("1",E6)+1)/2)," "))</f>
        <v xml:space="preserve">wheel_speed,  </v>
      </c>
      <c r="M6">
        <v>5</v>
      </c>
      <c r="N6" t="s">
        <v>106</v>
      </c>
    </row>
    <row r="7" spans="1:14" x14ac:dyDescent="0.3">
      <c r="A7">
        <v>40</v>
      </c>
      <c r="B7" t="s">
        <v>20</v>
      </c>
      <c r="C7" t="s">
        <v>17</v>
      </c>
      <c r="D7" t="s">
        <v>21</v>
      </c>
      <c r="E7" t="s">
        <v>12</v>
      </c>
      <c r="F7" t="b">
        <v>0</v>
      </c>
      <c r="G7">
        <v>13</v>
      </c>
      <c r="H7">
        <v>777</v>
      </c>
      <c r="I7">
        <v>790</v>
      </c>
      <c r="J7" t="str" cm="1">
        <f t="array" ref="J7">_xlfn.TEXTJOIN(", ",TRUE,IFERROR(INDEX($N$2:$N$6,SEARCH("1",C7)/2),"NA"),IFERROR(INDEX($N$2:$N$6,SEARCH("1",C7,SEARCH("1",C7)+1)/2)," "))</f>
        <v xml:space="preserve">wheel_steering_angle,  </v>
      </c>
      <c r="K7" t="str" cm="1">
        <f t="array" ref="K7">_xlfn.TEXTJOIN(", ",TRUE,IFERROR(INDEX($N$2:$N$6,SEARCH("1",E7)/2),"NA"),IFERROR(INDEX($N$2:$N$6,SEARCH("1",E7,SEARCH("1",E7)+1)/2)," "))</f>
        <v xml:space="preserve">NA,  </v>
      </c>
    </row>
    <row r="8" spans="1:14" x14ac:dyDescent="0.3">
      <c r="A8">
        <v>41</v>
      </c>
      <c r="B8" t="s">
        <v>22</v>
      </c>
      <c r="C8" t="s">
        <v>17</v>
      </c>
      <c r="D8" t="s">
        <v>23</v>
      </c>
      <c r="E8" t="s">
        <v>24</v>
      </c>
      <c r="F8" t="b">
        <v>0</v>
      </c>
      <c r="G8">
        <v>18</v>
      </c>
      <c r="H8">
        <v>775</v>
      </c>
      <c r="I8">
        <v>793</v>
      </c>
      <c r="J8" t="str" cm="1">
        <f t="array" ref="J8">_xlfn.TEXTJOIN(", ",TRUE,IFERROR(INDEX($N$2:$N$6,SEARCH("1",C8)/2),"NA"),IFERROR(INDEX($N$2:$N$6,SEARCH("1",C8,SEARCH("1",C8)+1)/2)," "))</f>
        <v xml:space="preserve">wheel_steering_angle,  </v>
      </c>
      <c r="K8" t="str" cm="1">
        <f t="array" ref="K8">_xlfn.TEXTJOIN(", ",TRUE,IFERROR(INDEX($N$2:$N$6,SEARCH("1",E8)/2),"NA"),IFERROR(INDEX($N$2:$N$6,SEARCH("1",E8,SEARCH("1",E8)+1)/2)," "))</f>
        <v xml:space="preserve">steering_torque,  </v>
      </c>
    </row>
    <row r="9" spans="1:14" x14ac:dyDescent="0.3">
      <c r="A9">
        <v>43</v>
      </c>
      <c r="B9" t="s">
        <v>25</v>
      </c>
      <c r="C9" t="s">
        <v>17</v>
      </c>
      <c r="D9" t="s">
        <v>26</v>
      </c>
      <c r="E9" t="s">
        <v>24</v>
      </c>
      <c r="F9" t="b">
        <v>0</v>
      </c>
      <c r="G9">
        <v>14</v>
      </c>
      <c r="H9">
        <v>768</v>
      </c>
      <c r="I9">
        <v>782</v>
      </c>
      <c r="J9" t="str" cm="1">
        <f t="array" ref="J9">_xlfn.TEXTJOIN(", ",TRUE,IFERROR(INDEX($N$2:$N$6,SEARCH("1",C9)/2),"NA"),IFERROR(INDEX($N$2:$N$6,SEARCH("1",C9,SEARCH("1",C9)+1)/2)," "))</f>
        <v xml:space="preserve">wheel_steering_angle,  </v>
      </c>
      <c r="K9" t="str" cm="1">
        <f t="array" ref="K9">_xlfn.TEXTJOIN(", ",TRUE,IFERROR(INDEX($N$2:$N$6,SEARCH("1",E9)/2),"NA"),IFERROR(INDEX($N$2:$N$6,SEARCH("1",E9,SEARCH("1",E9)+1)/2)," "))</f>
        <v xml:space="preserve">steering_torque,  </v>
      </c>
    </row>
    <row r="10" spans="1:14" x14ac:dyDescent="0.3">
      <c r="A10">
        <v>45</v>
      </c>
      <c r="B10" t="s">
        <v>27</v>
      </c>
      <c r="C10" t="s">
        <v>17</v>
      </c>
      <c r="D10" t="s">
        <v>26</v>
      </c>
      <c r="E10" t="s">
        <v>24</v>
      </c>
      <c r="F10" t="b">
        <v>0</v>
      </c>
      <c r="G10">
        <v>14</v>
      </c>
      <c r="H10">
        <v>775</v>
      </c>
      <c r="I10">
        <v>789</v>
      </c>
      <c r="J10" t="str" cm="1">
        <f t="array" ref="J10">_xlfn.TEXTJOIN(", ",TRUE,IFERROR(INDEX($N$2:$N$6,SEARCH("1",C10)/2),"NA"),IFERROR(INDEX($N$2:$N$6,SEARCH("1",C10,SEARCH("1",C10)+1)/2)," "))</f>
        <v xml:space="preserve">wheel_steering_angle,  </v>
      </c>
      <c r="K10" t="str" cm="1">
        <f t="array" ref="K10">_xlfn.TEXTJOIN(", ",TRUE,IFERROR(INDEX($N$2:$N$6,SEARCH("1",E10)/2),"NA"),IFERROR(INDEX($N$2:$N$6,SEARCH("1",E10,SEARCH("1",E10)+1)/2)," "))</f>
        <v xml:space="preserve">steering_torque,  </v>
      </c>
    </row>
    <row r="11" spans="1:14" x14ac:dyDescent="0.3">
      <c r="A11">
        <v>46</v>
      </c>
      <c r="B11" t="s">
        <v>28</v>
      </c>
      <c r="C11" t="s">
        <v>17</v>
      </c>
      <c r="D11" t="s">
        <v>26</v>
      </c>
      <c r="E11" t="s">
        <v>24</v>
      </c>
      <c r="F11" t="b">
        <v>0</v>
      </c>
      <c r="G11">
        <v>14</v>
      </c>
      <c r="H11">
        <v>771</v>
      </c>
      <c r="I11">
        <v>785</v>
      </c>
      <c r="J11" t="str" cm="1">
        <f t="array" ref="J11">_xlfn.TEXTJOIN(", ",TRUE,IFERROR(INDEX($N$2:$N$6,SEARCH("1",C11)/2),"NA"),IFERROR(INDEX($N$2:$N$6,SEARCH("1",C11,SEARCH("1",C11)+1)/2)," "))</f>
        <v xml:space="preserve">wheel_steering_angle,  </v>
      </c>
      <c r="K11" t="str" cm="1">
        <f t="array" ref="K11">_xlfn.TEXTJOIN(", ",TRUE,IFERROR(INDEX($N$2:$N$6,SEARCH("1",E11)/2),"NA"),IFERROR(INDEX($N$2:$N$6,SEARCH("1",E11,SEARCH("1",E11)+1)/2)," "))</f>
        <v xml:space="preserve">steering_torque,  </v>
      </c>
    </row>
    <row r="12" spans="1:14" x14ac:dyDescent="0.3">
      <c r="A12">
        <v>48</v>
      </c>
      <c r="B12" t="s">
        <v>29</v>
      </c>
      <c r="C12" t="s">
        <v>17</v>
      </c>
      <c r="D12" t="s">
        <v>26</v>
      </c>
      <c r="E12" t="s">
        <v>24</v>
      </c>
      <c r="F12" t="b">
        <v>0</v>
      </c>
      <c r="G12">
        <v>14</v>
      </c>
      <c r="H12">
        <v>776</v>
      </c>
      <c r="I12">
        <v>790</v>
      </c>
      <c r="J12" t="str" cm="1">
        <f t="array" ref="J12">_xlfn.TEXTJOIN(", ",TRUE,IFERROR(INDEX($N$2:$N$6,SEARCH("1",C12)/2),"NA"),IFERROR(INDEX($N$2:$N$6,SEARCH("1",C12,SEARCH("1",C12)+1)/2)," "))</f>
        <v xml:space="preserve">wheel_steering_angle,  </v>
      </c>
      <c r="K12" t="str" cm="1">
        <f t="array" ref="K12">_xlfn.TEXTJOIN(", ",TRUE,IFERROR(INDEX($N$2:$N$6,SEARCH("1",E12)/2),"NA"),IFERROR(INDEX($N$2:$N$6,SEARCH("1",E12,SEARCH("1",E12)+1)/2)," "))</f>
        <v xml:space="preserve">steering_torque,  </v>
      </c>
    </row>
    <row r="13" spans="1:14" x14ac:dyDescent="0.3">
      <c r="A13">
        <v>49</v>
      </c>
      <c r="B13" t="s">
        <v>30</v>
      </c>
      <c r="C13" t="s">
        <v>17</v>
      </c>
      <c r="D13" t="s">
        <v>31</v>
      </c>
      <c r="E13" t="s">
        <v>24</v>
      </c>
      <c r="F13" t="b">
        <v>0</v>
      </c>
      <c r="G13">
        <v>13</v>
      </c>
      <c r="H13">
        <v>779</v>
      </c>
      <c r="I13">
        <v>792</v>
      </c>
      <c r="J13" t="str" cm="1">
        <f t="array" ref="J13">_xlfn.TEXTJOIN(", ",TRUE,IFERROR(INDEX($N$2:$N$6,SEARCH("1",C13)/2),"NA"),IFERROR(INDEX($N$2:$N$6,SEARCH("1",C13,SEARCH("1",C13)+1)/2)," "))</f>
        <v xml:space="preserve">wheel_steering_angle,  </v>
      </c>
      <c r="K13" t="str" cm="1">
        <f t="array" ref="K13">_xlfn.TEXTJOIN(", ",TRUE,IFERROR(INDEX($N$2:$N$6,SEARCH("1",E13)/2),"NA"),IFERROR(INDEX($N$2:$N$6,SEARCH("1",E13,SEARCH("1",E13)+1)/2)," "))</f>
        <v xml:space="preserve">steering_torque,  </v>
      </c>
    </row>
    <row r="14" spans="1:14" x14ac:dyDescent="0.3">
      <c r="A14">
        <v>50</v>
      </c>
      <c r="B14" t="s">
        <v>32</v>
      </c>
      <c r="C14" t="s">
        <v>17</v>
      </c>
      <c r="D14" t="s">
        <v>21</v>
      </c>
      <c r="E14" t="s">
        <v>12</v>
      </c>
      <c r="F14" t="b">
        <v>0</v>
      </c>
      <c r="G14">
        <v>13</v>
      </c>
      <c r="H14">
        <v>769</v>
      </c>
      <c r="I14">
        <v>782</v>
      </c>
      <c r="J14" t="str" cm="1">
        <f t="array" ref="J14">_xlfn.TEXTJOIN(", ",TRUE,IFERROR(INDEX($N$2:$N$6,SEARCH("1",C14)/2),"NA"),IFERROR(INDEX($N$2:$N$6,SEARCH("1",C14,SEARCH("1",C14)+1)/2)," "))</f>
        <v xml:space="preserve">wheel_steering_angle,  </v>
      </c>
      <c r="K14" t="str" cm="1">
        <f t="array" ref="K14">_xlfn.TEXTJOIN(", ",TRUE,IFERROR(INDEX($N$2:$N$6,SEARCH("1",E14)/2),"NA"),IFERROR(INDEX($N$2:$N$6,SEARCH("1",E14,SEARCH("1",E14)+1)/2)," "))</f>
        <v xml:space="preserve">NA,  </v>
      </c>
    </row>
    <row r="15" spans="1:14" x14ac:dyDescent="0.3">
      <c r="A15">
        <v>51</v>
      </c>
      <c r="B15" t="s">
        <v>33</v>
      </c>
      <c r="C15" t="s">
        <v>17</v>
      </c>
      <c r="D15" t="s">
        <v>31</v>
      </c>
      <c r="E15" t="s">
        <v>24</v>
      </c>
      <c r="F15" t="b">
        <v>0</v>
      </c>
      <c r="G15">
        <v>13</v>
      </c>
      <c r="H15">
        <v>779</v>
      </c>
      <c r="I15">
        <v>792</v>
      </c>
      <c r="J15" t="str" cm="1">
        <f t="array" ref="J15">_xlfn.TEXTJOIN(", ",TRUE,IFERROR(INDEX($N$2:$N$6,SEARCH("1",C15)/2),"NA"),IFERROR(INDEX($N$2:$N$6,SEARCH("1",C15,SEARCH("1",C15)+1)/2)," "))</f>
        <v xml:space="preserve">wheel_steering_angle,  </v>
      </c>
      <c r="K15" t="str" cm="1">
        <f t="array" ref="K15">_xlfn.TEXTJOIN(", ",TRUE,IFERROR(INDEX($N$2:$N$6,SEARCH("1",E15)/2),"NA"),IFERROR(INDEX($N$2:$N$6,SEARCH("1",E15,SEARCH("1",E15)+1)/2)," "))</f>
        <v xml:space="preserve">steering_torque,  </v>
      </c>
    </row>
    <row r="16" spans="1:14" x14ac:dyDescent="0.3">
      <c r="A16">
        <v>52</v>
      </c>
      <c r="B16" t="s">
        <v>34</v>
      </c>
      <c r="C16" t="s">
        <v>17</v>
      </c>
      <c r="D16" t="s">
        <v>31</v>
      </c>
      <c r="E16" t="s">
        <v>24</v>
      </c>
      <c r="F16" t="b">
        <v>0</v>
      </c>
      <c r="G16">
        <v>13</v>
      </c>
      <c r="H16">
        <v>773</v>
      </c>
      <c r="I16">
        <v>786</v>
      </c>
      <c r="J16" t="str" cm="1">
        <f t="array" ref="J16">_xlfn.TEXTJOIN(", ",TRUE,IFERROR(INDEX($N$2:$N$6,SEARCH("1",C16)/2),"NA"),IFERROR(INDEX($N$2:$N$6,SEARCH("1",C16,SEARCH("1",C16)+1)/2)," "))</f>
        <v xml:space="preserve">wheel_steering_angle,  </v>
      </c>
      <c r="K16" t="str" cm="1">
        <f t="array" ref="K16">_xlfn.TEXTJOIN(", ",TRUE,IFERROR(INDEX($N$2:$N$6,SEARCH("1",E16)/2),"NA"),IFERROR(INDEX($N$2:$N$6,SEARCH("1",E16,SEARCH("1",E16)+1)/2)," "))</f>
        <v xml:space="preserve">steering_torque,  </v>
      </c>
    </row>
    <row r="17" spans="1:11" x14ac:dyDescent="0.3">
      <c r="A17">
        <v>54</v>
      </c>
      <c r="B17" t="s">
        <v>35</v>
      </c>
      <c r="C17" t="s">
        <v>17</v>
      </c>
      <c r="D17" t="s">
        <v>26</v>
      </c>
      <c r="E17" t="s">
        <v>24</v>
      </c>
      <c r="F17" t="b">
        <v>0</v>
      </c>
      <c r="G17">
        <v>14</v>
      </c>
      <c r="H17">
        <v>777</v>
      </c>
      <c r="I17">
        <v>791</v>
      </c>
      <c r="J17" t="str" cm="1">
        <f t="array" ref="J17">_xlfn.TEXTJOIN(", ",TRUE,IFERROR(INDEX($N$2:$N$6,SEARCH("1",C17)/2),"NA"),IFERROR(INDEX($N$2:$N$6,SEARCH("1",C17,SEARCH("1",C17)+1)/2)," "))</f>
        <v xml:space="preserve">wheel_steering_angle,  </v>
      </c>
      <c r="K17" t="str" cm="1">
        <f t="array" ref="K17">_xlfn.TEXTJOIN(", ",TRUE,IFERROR(INDEX($N$2:$N$6,SEARCH("1",E17)/2),"NA"),IFERROR(INDEX($N$2:$N$6,SEARCH("1",E17,SEARCH("1",E17)+1)/2)," "))</f>
        <v xml:space="preserve">steering_torque,  </v>
      </c>
    </row>
    <row r="18" spans="1:11" x14ac:dyDescent="0.3">
      <c r="A18">
        <v>56</v>
      </c>
      <c r="B18" t="s">
        <v>36</v>
      </c>
      <c r="C18" t="s">
        <v>17</v>
      </c>
      <c r="D18" t="s">
        <v>26</v>
      </c>
      <c r="E18" t="s">
        <v>24</v>
      </c>
      <c r="F18" t="b">
        <v>0</v>
      </c>
      <c r="G18">
        <v>14</v>
      </c>
      <c r="H18">
        <v>774</v>
      </c>
      <c r="I18">
        <v>788</v>
      </c>
      <c r="J18" t="str" cm="1">
        <f t="array" ref="J18">_xlfn.TEXTJOIN(", ",TRUE,IFERROR(INDEX($N$2:$N$6,SEARCH("1",C18)/2),"NA"),IFERROR(INDEX($N$2:$N$6,SEARCH("1",C18,SEARCH("1",C18)+1)/2)," "))</f>
        <v xml:space="preserve">wheel_steering_angle,  </v>
      </c>
      <c r="K18" t="str" cm="1">
        <f t="array" ref="K18">_xlfn.TEXTJOIN(", ",TRUE,IFERROR(INDEX($N$2:$N$6,SEARCH("1",E18)/2),"NA"),IFERROR(INDEX($N$2:$N$6,SEARCH("1",E18,SEARCH("1",E18)+1)/2)," "))</f>
        <v xml:space="preserve">steering_torque,  </v>
      </c>
    </row>
    <row r="19" spans="1:11" x14ac:dyDescent="0.3">
      <c r="A19">
        <v>57</v>
      </c>
      <c r="B19" t="s">
        <v>37</v>
      </c>
      <c r="C19" t="s">
        <v>17</v>
      </c>
      <c r="D19" t="s">
        <v>38</v>
      </c>
      <c r="E19" t="s">
        <v>39</v>
      </c>
      <c r="F19" t="b">
        <v>0</v>
      </c>
      <c r="G19">
        <v>13</v>
      </c>
      <c r="H19">
        <v>775</v>
      </c>
      <c r="I19">
        <v>788</v>
      </c>
      <c r="J19" t="str" cm="1">
        <f t="array" ref="J19">_xlfn.TEXTJOIN(", ",TRUE,IFERROR(INDEX($N$2:$N$6,SEARCH("1",C19)/2),"NA"),IFERROR(INDEX($N$2:$N$6,SEARCH("1",C19,SEARCH("1",C19)+1)/2)," "))</f>
        <v xml:space="preserve">wheel_steering_angle,  </v>
      </c>
      <c r="K19" t="str" cm="1">
        <f t="array" ref="K19">_xlfn.TEXTJOIN(", ",TRUE,IFERROR(INDEX($N$2:$N$6,SEARCH("1",E19)/2),"NA"),IFERROR(INDEX($N$2:$N$6,SEARCH("1",E19,SEARCH("1",E19)+1)/2)," "))</f>
        <v>wheel_steering_angle, steering_torque</v>
      </c>
    </row>
    <row r="20" spans="1:11" x14ac:dyDescent="0.3">
      <c r="A20">
        <v>58</v>
      </c>
      <c r="B20" t="s">
        <v>40</v>
      </c>
      <c r="C20" t="s">
        <v>17</v>
      </c>
      <c r="D20" t="s">
        <v>26</v>
      </c>
      <c r="E20" t="s">
        <v>24</v>
      </c>
      <c r="F20" t="b">
        <v>0</v>
      </c>
      <c r="G20">
        <v>14</v>
      </c>
      <c r="H20">
        <v>780</v>
      </c>
      <c r="I20">
        <v>794</v>
      </c>
      <c r="J20" t="str" cm="1">
        <f t="array" ref="J20">_xlfn.TEXTJOIN(", ",TRUE,IFERROR(INDEX($N$2:$N$6,SEARCH("1",C20)/2),"NA"),IFERROR(INDEX($N$2:$N$6,SEARCH("1",C20,SEARCH("1",C20)+1)/2)," "))</f>
        <v xml:space="preserve">wheel_steering_angle,  </v>
      </c>
      <c r="K20" t="str" cm="1">
        <f t="array" ref="K20">_xlfn.TEXTJOIN(", ",TRUE,IFERROR(INDEX($N$2:$N$6,SEARCH("1",E20)/2),"NA"),IFERROR(INDEX($N$2:$N$6,SEARCH("1",E20,SEARCH("1",E20)+1)/2)," "))</f>
        <v xml:space="preserve">steering_torque,  </v>
      </c>
    </row>
    <row r="21" spans="1:11" x14ac:dyDescent="0.3">
      <c r="A21">
        <v>62</v>
      </c>
      <c r="B21" t="s">
        <v>41</v>
      </c>
      <c r="C21" t="s">
        <v>17</v>
      </c>
      <c r="D21" t="s">
        <v>26</v>
      </c>
      <c r="E21" t="s">
        <v>24</v>
      </c>
      <c r="F21" t="b">
        <v>0</v>
      </c>
      <c r="G21">
        <v>14</v>
      </c>
      <c r="H21">
        <v>778</v>
      </c>
      <c r="I21">
        <v>792</v>
      </c>
      <c r="J21" t="str" cm="1">
        <f t="array" ref="J21">_xlfn.TEXTJOIN(", ",TRUE,IFERROR(INDEX($N$2:$N$6,SEARCH("1",C21)/2),"NA"),IFERROR(INDEX($N$2:$N$6,SEARCH("1",C21,SEARCH("1",C21)+1)/2)," "))</f>
        <v xml:space="preserve">wheel_steering_angle,  </v>
      </c>
      <c r="K21" t="str" cm="1">
        <f t="array" ref="K21">_xlfn.TEXTJOIN(", ",TRUE,IFERROR(INDEX($N$2:$N$6,SEARCH("1",E21)/2),"NA"),IFERROR(INDEX($N$2:$N$6,SEARCH("1",E21,SEARCH("1",E21)+1)/2)," "))</f>
        <v xml:space="preserve">steering_torque,  </v>
      </c>
    </row>
    <row r="22" spans="1:11" x14ac:dyDescent="0.3">
      <c r="A22">
        <v>65</v>
      </c>
      <c r="B22" t="s">
        <v>42</v>
      </c>
      <c r="C22" t="s">
        <v>17</v>
      </c>
      <c r="D22" t="s">
        <v>26</v>
      </c>
      <c r="E22" t="s">
        <v>24</v>
      </c>
      <c r="F22" t="b">
        <v>0</v>
      </c>
      <c r="G22">
        <v>14</v>
      </c>
      <c r="H22">
        <v>777</v>
      </c>
      <c r="I22">
        <v>791</v>
      </c>
      <c r="J22" t="str" cm="1">
        <f t="array" ref="J22">_xlfn.TEXTJOIN(", ",TRUE,IFERROR(INDEX($N$2:$N$6,SEARCH("1",C22)/2),"NA"),IFERROR(INDEX($N$2:$N$6,SEARCH("1",C22,SEARCH("1",C22)+1)/2)," "))</f>
        <v xml:space="preserve">wheel_steering_angle,  </v>
      </c>
      <c r="K22" t="str" cm="1">
        <f t="array" ref="K22">_xlfn.TEXTJOIN(", ",TRUE,IFERROR(INDEX($N$2:$N$6,SEARCH("1",E22)/2),"NA"),IFERROR(INDEX($N$2:$N$6,SEARCH("1",E22,SEARCH("1",E22)+1)/2)," "))</f>
        <v xml:space="preserve">steering_torque,  </v>
      </c>
    </row>
    <row r="23" spans="1:11" x14ac:dyDescent="0.3">
      <c r="A23">
        <v>66</v>
      </c>
      <c r="B23" t="s">
        <v>43</v>
      </c>
      <c r="C23" t="s">
        <v>17</v>
      </c>
      <c r="D23" t="s">
        <v>26</v>
      </c>
      <c r="E23" t="s">
        <v>24</v>
      </c>
      <c r="F23" t="b">
        <v>0</v>
      </c>
      <c r="G23">
        <v>14</v>
      </c>
      <c r="H23">
        <v>773</v>
      </c>
      <c r="I23">
        <v>787</v>
      </c>
      <c r="J23" t="str" cm="1">
        <f t="array" ref="J23">_xlfn.TEXTJOIN(", ",TRUE,IFERROR(INDEX($N$2:$N$6,SEARCH("1",C23)/2),"NA"),IFERROR(INDEX($N$2:$N$6,SEARCH("1",C23,SEARCH("1",C23)+1)/2)," "))</f>
        <v xml:space="preserve">wheel_steering_angle,  </v>
      </c>
      <c r="K23" t="str" cm="1">
        <f t="array" ref="K23">_xlfn.TEXTJOIN(", ",TRUE,IFERROR(INDEX($N$2:$N$6,SEARCH("1",E23)/2),"NA"),IFERROR(INDEX($N$2:$N$6,SEARCH("1",E23,SEARCH("1",E23)+1)/2)," "))</f>
        <v xml:space="preserve">steering_torque,  </v>
      </c>
    </row>
    <row r="24" spans="1:11" x14ac:dyDescent="0.3">
      <c r="A24">
        <v>75</v>
      </c>
      <c r="B24" t="s">
        <v>44</v>
      </c>
      <c r="C24" t="s">
        <v>17</v>
      </c>
      <c r="D24" t="s">
        <v>45</v>
      </c>
      <c r="E24" t="s">
        <v>46</v>
      </c>
      <c r="F24" t="b">
        <v>0</v>
      </c>
      <c r="G24">
        <v>14</v>
      </c>
      <c r="H24">
        <v>775</v>
      </c>
      <c r="I24">
        <v>789</v>
      </c>
      <c r="J24" t="str" cm="1">
        <f t="array" ref="J24">_xlfn.TEXTJOIN(", ",TRUE,IFERROR(INDEX($N$2:$N$6,SEARCH("1",C24)/2),"NA"),IFERROR(INDEX($N$2:$N$6,SEARCH("1",C24,SEARCH("1",C24)+1)/2)," "))</f>
        <v xml:space="preserve">wheel_steering_angle,  </v>
      </c>
      <c r="K24" t="str" cm="1">
        <f t="array" ref="K24">_xlfn.TEXTJOIN(", ",TRUE,IFERROR(INDEX($N$2:$N$6,SEARCH("1",E24)/2),"NA"),IFERROR(INDEX($N$2:$N$6,SEARCH("1",E24,SEARCH("1",E24)+1)/2)," "))</f>
        <v>wheel_steering_angle, wheel_speed</v>
      </c>
    </row>
    <row r="25" spans="1:11" x14ac:dyDescent="0.3">
      <c r="A25">
        <v>84</v>
      </c>
      <c r="B25" t="s">
        <v>47</v>
      </c>
      <c r="C25" t="s">
        <v>17</v>
      </c>
      <c r="D25" t="s">
        <v>26</v>
      </c>
      <c r="E25" t="s">
        <v>24</v>
      </c>
      <c r="F25" t="b">
        <v>0</v>
      </c>
      <c r="G25">
        <v>14</v>
      </c>
      <c r="H25">
        <v>781</v>
      </c>
      <c r="I25">
        <v>795</v>
      </c>
      <c r="J25" t="str" cm="1">
        <f t="array" ref="J25">_xlfn.TEXTJOIN(", ",TRUE,IFERROR(INDEX($N$2:$N$6,SEARCH("1",C25)/2),"NA"),IFERROR(INDEX($N$2:$N$6,SEARCH("1",C25,SEARCH("1",C25)+1)/2)," "))</f>
        <v xml:space="preserve">wheel_steering_angle,  </v>
      </c>
      <c r="K25" t="str" cm="1">
        <f t="array" ref="K25">_xlfn.TEXTJOIN(", ",TRUE,IFERROR(INDEX($N$2:$N$6,SEARCH("1",E25)/2),"NA"),IFERROR(INDEX($N$2:$N$6,SEARCH("1",E25,SEARCH("1",E25)+1)/2)," "))</f>
        <v xml:space="preserve">steering_torque,  </v>
      </c>
    </row>
    <row r="26" spans="1:11" x14ac:dyDescent="0.3">
      <c r="A26">
        <v>100</v>
      </c>
      <c r="B26" t="s">
        <v>48</v>
      </c>
      <c r="C26" t="s">
        <v>19</v>
      </c>
      <c r="D26" t="s">
        <v>11</v>
      </c>
      <c r="E26" t="s">
        <v>12</v>
      </c>
      <c r="F26" t="b">
        <v>0</v>
      </c>
      <c r="G26">
        <v>14</v>
      </c>
      <c r="H26">
        <v>775</v>
      </c>
      <c r="I26">
        <v>789</v>
      </c>
      <c r="J26" t="str" cm="1">
        <f t="array" ref="J26">_xlfn.TEXTJOIN(", ",TRUE,IFERROR(INDEX($N$2:$N$6,SEARCH("1",C26)/2),"NA"),IFERROR(INDEX($N$2:$N$6,SEARCH("1",C26,SEARCH("1",C26)+1)/2)," "))</f>
        <v xml:space="preserve">wheel_speed,  </v>
      </c>
      <c r="K26" t="str" cm="1">
        <f t="array" ref="K26">_xlfn.TEXTJOIN(", ",TRUE,IFERROR(INDEX($N$2:$N$6,SEARCH("1",E26)/2),"NA"),IFERROR(INDEX($N$2:$N$6,SEARCH("1",E26,SEARCH("1",E26)+1)/2)," "))</f>
        <v xml:space="preserve">NA,  </v>
      </c>
    </row>
    <row r="27" spans="1:11" x14ac:dyDescent="0.3">
      <c r="A27">
        <v>110</v>
      </c>
      <c r="B27" t="s">
        <v>49</v>
      </c>
      <c r="C27" t="s">
        <v>19</v>
      </c>
      <c r="D27" t="s">
        <v>50</v>
      </c>
      <c r="E27" t="s">
        <v>10</v>
      </c>
      <c r="F27" t="b">
        <v>0</v>
      </c>
      <c r="G27">
        <v>13</v>
      </c>
      <c r="H27">
        <v>772</v>
      </c>
      <c r="I27">
        <v>785</v>
      </c>
      <c r="J27" t="str" cm="1">
        <f t="array" ref="J27">_xlfn.TEXTJOIN(", ",TRUE,IFERROR(INDEX($N$2:$N$6,SEARCH("1",C27)/2),"NA"),IFERROR(INDEX($N$2:$N$6,SEARCH("1",C27,SEARCH("1",C27)+1)/2)," "))</f>
        <v xml:space="preserve">wheel_speed,  </v>
      </c>
      <c r="K27" t="str" cm="1">
        <f t="array" ref="K27">_xlfn.TEXTJOIN(", ",TRUE,IFERROR(INDEX($N$2:$N$6,SEARCH("1",E27)/2),"NA"),IFERROR(INDEX($N$2:$N$6,SEARCH("1",E27,SEARCH("1",E27)+1)/2)," "))</f>
        <v xml:space="preserve">acceleration_pedal,  </v>
      </c>
    </row>
    <row r="28" spans="1:11" x14ac:dyDescent="0.3">
      <c r="A28">
        <v>126</v>
      </c>
      <c r="B28" t="s">
        <v>51</v>
      </c>
      <c r="C28" t="s">
        <v>52</v>
      </c>
      <c r="D28" t="s">
        <v>45</v>
      </c>
      <c r="E28" t="s">
        <v>46</v>
      </c>
      <c r="F28" t="b">
        <v>0</v>
      </c>
      <c r="G28">
        <v>14</v>
      </c>
      <c r="H28">
        <v>778</v>
      </c>
      <c r="I28">
        <v>792</v>
      </c>
      <c r="J28" t="str" cm="1">
        <f t="array" ref="J28">_xlfn.TEXTJOIN(", ",TRUE,IFERROR(INDEX($N$2:$N$6,SEARCH("1",C28)/2),"NA"),IFERROR(INDEX($N$2:$N$6,SEARCH("1",C28,SEARCH("1",C28)+1)/2)," "))</f>
        <v xml:space="preserve">yaw_rate,  </v>
      </c>
      <c r="K28" t="str" cm="1">
        <f t="array" ref="K28">_xlfn.TEXTJOIN(", ",TRUE,IFERROR(INDEX($N$2:$N$6,SEARCH("1",E28)/2),"NA"),IFERROR(INDEX($N$2:$N$6,SEARCH("1",E28,SEARCH("1",E28)+1)/2)," "))</f>
        <v>wheel_steering_angle, wheel_speed</v>
      </c>
    </row>
    <row r="29" spans="1:11" x14ac:dyDescent="0.3">
      <c r="A29">
        <v>127</v>
      </c>
      <c r="B29" t="s">
        <v>53</v>
      </c>
      <c r="C29" t="s">
        <v>52</v>
      </c>
      <c r="D29" t="s">
        <v>54</v>
      </c>
      <c r="E29" t="s">
        <v>17</v>
      </c>
      <c r="F29" t="b">
        <v>0</v>
      </c>
      <c r="G29">
        <v>18</v>
      </c>
      <c r="H29">
        <v>777</v>
      </c>
      <c r="I29">
        <v>795</v>
      </c>
      <c r="J29" t="str" cm="1">
        <f t="array" ref="J29">_xlfn.TEXTJOIN(", ",TRUE,IFERROR(INDEX($N$2:$N$6,SEARCH("1",C29)/2),"NA"),IFERROR(INDEX($N$2:$N$6,SEARCH("1",C29,SEARCH("1",C29)+1)/2)," "))</f>
        <v xml:space="preserve">yaw_rate,  </v>
      </c>
      <c r="K29" t="str" cm="1">
        <f t="array" ref="K29">_xlfn.TEXTJOIN(", ",TRUE,IFERROR(INDEX($N$2:$N$6,SEARCH("1",E29)/2),"NA"),IFERROR(INDEX($N$2:$N$6,SEARCH("1",E29,SEARCH("1",E29)+1)/2)," "))</f>
        <v xml:space="preserve">wheel_steering_angle,  </v>
      </c>
    </row>
    <row r="30" spans="1:11" x14ac:dyDescent="0.3">
      <c r="A30">
        <v>128</v>
      </c>
      <c r="B30" t="s">
        <v>55</v>
      </c>
      <c r="C30" t="s">
        <v>52</v>
      </c>
      <c r="D30" t="s">
        <v>56</v>
      </c>
      <c r="E30" t="s">
        <v>19</v>
      </c>
      <c r="F30" t="b">
        <v>0</v>
      </c>
      <c r="G30">
        <v>14</v>
      </c>
      <c r="H30">
        <v>771</v>
      </c>
      <c r="I30">
        <v>785</v>
      </c>
      <c r="J30" t="str" cm="1">
        <f t="array" ref="J30">_xlfn.TEXTJOIN(", ",TRUE,IFERROR(INDEX($N$2:$N$6,SEARCH("1",C30)/2),"NA"),IFERROR(INDEX($N$2:$N$6,SEARCH("1",C30,SEARCH("1",C30)+1)/2)," "))</f>
        <v xml:space="preserve">yaw_rate,  </v>
      </c>
      <c r="K30" t="str" cm="1">
        <f t="array" ref="K30">_xlfn.TEXTJOIN(", ",TRUE,IFERROR(INDEX($N$2:$N$6,SEARCH("1",E30)/2),"NA"),IFERROR(INDEX($N$2:$N$6,SEARCH("1",E30,SEARCH("1",E30)+1)/2)," "))</f>
        <v xml:space="preserve">wheel_speed,  </v>
      </c>
    </row>
    <row r="31" spans="1:11" x14ac:dyDescent="0.3">
      <c r="A31">
        <v>131</v>
      </c>
      <c r="B31" t="s">
        <v>57</v>
      </c>
      <c r="C31" t="s">
        <v>52</v>
      </c>
      <c r="D31" t="s">
        <v>58</v>
      </c>
      <c r="E31" t="s">
        <v>59</v>
      </c>
      <c r="F31" t="b">
        <v>0</v>
      </c>
      <c r="G31">
        <v>14</v>
      </c>
      <c r="H31">
        <v>771</v>
      </c>
      <c r="I31">
        <v>785</v>
      </c>
      <c r="J31" t="str" cm="1">
        <f t="array" ref="J31">_xlfn.TEXTJOIN(", ",TRUE,IFERROR(INDEX($N$2:$N$6,SEARCH("1",C31)/2),"NA"),IFERROR(INDEX($N$2:$N$6,SEARCH("1",C31,SEARCH("1",C31)+1)/2)," "))</f>
        <v xml:space="preserve">yaw_rate,  </v>
      </c>
      <c r="K31" t="str" cm="1">
        <f t="array" ref="K31">_xlfn.TEXTJOIN(", ",TRUE,IFERROR(INDEX($N$2:$N$6,SEARCH("1",E31)/2),"NA"),IFERROR(INDEX($N$2:$N$6,SEARCH("1",E31,SEARCH("1",E31)+1)/2)," "))</f>
        <v>wheel_speed, yaw_rate</v>
      </c>
    </row>
    <row r="32" spans="1:11" x14ac:dyDescent="0.3">
      <c r="A32">
        <v>163</v>
      </c>
      <c r="B32" t="s">
        <v>60</v>
      </c>
      <c r="C32" t="s">
        <v>24</v>
      </c>
      <c r="D32" t="s">
        <v>61</v>
      </c>
      <c r="E32" t="s">
        <v>62</v>
      </c>
      <c r="F32" t="b">
        <v>0</v>
      </c>
      <c r="G32">
        <v>13</v>
      </c>
      <c r="H32">
        <v>775</v>
      </c>
      <c r="I32">
        <v>788</v>
      </c>
      <c r="J32" t="str" cm="1">
        <f t="array" ref="J32">_xlfn.TEXTJOIN(", ",TRUE,IFERROR(INDEX($N$2:$N$6,SEARCH("1",C32)/2),"NA"),IFERROR(INDEX($N$2:$N$6,SEARCH("1",C32,SEARCH("1",C32)+1)/2)," "))</f>
        <v xml:space="preserve">steering_torque,  </v>
      </c>
      <c r="K32" t="str" cm="1">
        <f t="array" ref="K32">_xlfn.TEXTJOIN(", ",TRUE,IFERROR(INDEX($N$2:$N$6,SEARCH("1",E32)/2),"NA"),IFERROR(INDEX($N$2:$N$6,SEARCH("1",E32,SEARCH("1",E32)+1)/2)," "))</f>
        <v>wheel_speed, steering_torque</v>
      </c>
    </row>
    <row r="33" spans="1:11" x14ac:dyDescent="0.3">
      <c r="A33">
        <v>164</v>
      </c>
      <c r="B33" t="s">
        <v>63</v>
      </c>
      <c r="C33" t="s">
        <v>24</v>
      </c>
      <c r="D33" t="s">
        <v>64</v>
      </c>
      <c r="E33" t="s">
        <v>62</v>
      </c>
      <c r="F33" t="b">
        <v>0</v>
      </c>
      <c r="G33">
        <v>14</v>
      </c>
      <c r="H33">
        <v>771</v>
      </c>
      <c r="I33">
        <v>785</v>
      </c>
      <c r="J33" t="str" cm="1">
        <f t="array" ref="J33">_xlfn.TEXTJOIN(", ",TRUE,IFERROR(INDEX($N$2:$N$6,SEARCH("1",C33)/2),"NA"),IFERROR(INDEX($N$2:$N$6,SEARCH("1",C33,SEARCH("1",C33)+1)/2)," "))</f>
        <v xml:space="preserve">steering_torque,  </v>
      </c>
      <c r="K33" t="str" cm="1">
        <f t="array" ref="K33">_xlfn.TEXTJOIN(", ",TRUE,IFERROR(INDEX($N$2:$N$6,SEARCH("1",E33)/2),"NA"),IFERROR(INDEX($N$2:$N$6,SEARCH("1",E33,SEARCH("1",E33)+1)/2)," "))</f>
        <v>wheel_speed, steering_torque</v>
      </c>
    </row>
    <row r="34" spans="1:11" x14ac:dyDescent="0.3">
      <c r="A34">
        <v>165</v>
      </c>
      <c r="B34" t="s">
        <v>65</v>
      </c>
      <c r="C34" t="s">
        <v>24</v>
      </c>
      <c r="D34" t="s">
        <v>64</v>
      </c>
      <c r="E34" t="s">
        <v>62</v>
      </c>
      <c r="F34" t="b">
        <v>0</v>
      </c>
      <c r="G34">
        <v>14</v>
      </c>
      <c r="H34">
        <v>778</v>
      </c>
      <c r="I34">
        <v>792</v>
      </c>
      <c r="J34" t="str" cm="1">
        <f t="array" ref="J34">_xlfn.TEXTJOIN(", ",TRUE,IFERROR(INDEX($N$2:$N$6,SEARCH("1",C34)/2),"NA"),IFERROR(INDEX($N$2:$N$6,SEARCH("1",C34,SEARCH("1",C34)+1)/2)," "))</f>
        <v xml:space="preserve">steering_torque,  </v>
      </c>
      <c r="K34" t="str" cm="1">
        <f t="array" ref="K34">_xlfn.TEXTJOIN(", ",TRUE,IFERROR(INDEX($N$2:$N$6,SEARCH("1",E34)/2),"NA"),IFERROR(INDEX($N$2:$N$6,SEARCH("1",E34,SEARCH("1",E34)+1)/2)," "))</f>
        <v>wheel_speed, steering_torque</v>
      </c>
    </row>
    <row r="35" spans="1:11" x14ac:dyDescent="0.3">
      <c r="A35">
        <v>168</v>
      </c>
      <c r="B35" t="s">
        <v>66</v>
      </c>
      <c r="C35" t="s">
        <v>24</v>
      </c>
      <c r="D35" t="s">
        <v>67</v>
      </c>
      <c r="E35" t="s">
        <v>17</v>
      </c>
      <c r="F35" t="b">
        <v>0</v>
      </c>
      <c r="G35">
        <v>14</v>
      </c>
      <c r="H35">
        <v>772</v>
      </c>
      <c r="I35">
        <v>786</v>
      </c>
      <c r="J35" t="str" cm="1">
        <f t="array" ref="J35">_xlfn.TEXTJOIN(", ",TRUE,IFERROR(INDEX($N$2:$N$6,SEARCH("1",C35)/2),"NA"),IFERROR(INDEX($N$2:$N$6,SEARCH("1",C35,SEARCH("1",C35)+1)/2)," "))</f>
        <v xml:space="preserve">steering_torque,  </v>
      </c>
      <c r="K35" t="str" cm="1">
        <f t="array" ref="K35">_xlfn.TEXTJOIN(", ",TRUE,IFERROR(INDEX($N$2:$N$6,SEARCH("1",E35)/2),"NA"),IFERROR(INDEX($N$2:$N$6,SEARCH("1",E35,SEARCH("1",E35)+1)/2)," "))</f>
        <v xml:space="preserve">wheel_steering_angle,  </v>
      </c>
    </row>
    <row r="36" spans="1:11" x14ac:dyDescent="0.3">
      <c r="A36">
        <v>173</v>
      </c>
      <c r="B36" t="s">
        <v>68</v>
      </c>
      <c r="C36" t="s">
        <v>24</v>
      </c>
      <c r="D36" t="s">
        <v>69</v>
      </c>
      <c r="E36" t="s">
        <v>17</v>
      </c>
      <c r="F36" t="b">
        <v>0</v>
      </c>
      <c r="G36">
        <v>13</v>
      </c>
      <c r="H36">
        <v>777</v>
      </c>
      <c r="I36">
        <v>790</v>
      </c>
      <c r="J36" t="str" cm="1">
        <f t="array" ref="J36">_xlfn.TEXTJOIN(", ",TRUE,IFERROR(INDEX($N$2:$N$6,SEARCH("1",C36)/2),"NA"),IFERROR(INDEX($N$2:$N$6,SEARCH("1",C36,SEARCH("1",C36)+1)/2)," "))</f>
        <v xml:space="preserve">steering_torque,  </v>
      </c>
      <c r="K36" t="str" cm="1">
        <f t="array" ref="K36">_xlfn.TEXTJOIN(", ",TRUE,IFERROR(INDEX($N$2:$N$6,SEARCH("1",E36)/2),"NA"),IFERROR(INDEX($N$2:$N$6,SEARCH("1",E36,SEARCH("1",E36)+1)/2)," "))</f>
        <v xml:space="preserve">wheel_steering_angle,  </v>
      </c>
    </row>
    <row r="37" spans="1:11" x14ac:dyDescent="0.3">
      <c r="A37">
        <v>174</v>
      </c>
      <c r="B37" t="s">
        <v>70</v>
      </c>
      <c r="C37" t="s">
        <v>24</v>
      </c>
      <c r="D37" t="s">
        <v>45</v>
      </c>
      <c r="E37" t="s">
        <v>46</v>
      </c>
      <c r="F37" t="b">
        <v>0</v>
      </c>
      <c r="G37">
        <v>14</v>
      </c>
      <c r="H37">
        <v>774</v>
      </c>
      <c r="I37">
        <v>788</v>
      </c>
      <c r="J37" t="str" cm="1">
        <f t="array" ref="J37">_xlfn.TEXTJOIN(", ",TRUE,IFERROR(INDEX($N$2:$N$6,SEARCH("1",C37)/2),"NA"),IFERROR(INDEX($N$2:$N$6,SEARCH("1",C37,SEARCH("1",C37)+1)/2)," "))</f>
        <v xml:space="preserve">steering_torque,  </v>
      </c>
      <c r="K37" t="str" cm="1">
        <f t="array" ref="K37">_xlfn.TEXTJOIN(", ",TRUE,IFERROR(INDEX($N$2:$N$6,SEARCH("1",E37)/2),"NA"),IFERROR(INDEX($N$2:$N$6,SEARCH("1",E37,SEARCH("1",E37)+1)/2)," "))</f>
        <v>wheel_steering_angle, wheel_speed</v>
      </c>
    </row>
    <row r="38" spans="1:11" x14ac:dyDescent="0.3">
      <c r="A38">
        <v>178</v>
      </c>
      <c r="B38" t="s">
        <v>71</v>
      </c>
      <c r="C38" t="s">
        <v>24</v>
      </c>
      <c r="D38" t="s">
        <v>67</v>
      </c>
      <c r="E38" t="s">
        <v>17</v>
      </c>
      <c r="F38" t="b">
        <v>0</v>
      </c>
      <c r="G38">
        <v>14</v>
      </c>
      <c r="H38">
        <v>775</v>
      </c>
      <c r="I38">
        <v>789</v>
      </c>
      <c r="J38" t="str" cm="1">
        <f t="array" ref="J38">_xlfn.TEXTJOIN(", ",TRUE,IFERROR(INDEX($N$2:$N$6,SEARCH("1",C38)/2),"NA"),IFERROR(INDEX($N$2:$N$6,SEARCH("1",C38,SEARCH("1",C38)+1)/2)," "))</f>
        <v xml:space="preserve">steering_torque,  </v>
      </c>
      <c r="K38" t="str" cm="1">
        <f t="array" ref="K38">_xlfn.TEXTJOIN(", ",TRUE,IFERROR(INDEX($N$2:$N$6,SEARCH("1",E38)/2),"NA"),IFERROR(INDEX($N$2:$N$6,SEARCH("1",E38,SEARCH("1",E38)+1)/2)," "))</f>
        <v xml:space="preserve">wheel_steering_angle,  </v>
      </c>
    </row>
    <row r="39" spans="1:11" x14ac:dyDescent="0.3">
      <c r="A39">
        <v>179</v>
      </c>
      <c r="B39" t="s">
        <v>72</v>
      </c>
      <c r="C39" t="s">
        <v>24</v>
      </c>
      <c r="D39" t="s">
        <v>69</v>
      </c>
      <c r="E39" t="s">
        <v>17</v>
      </c>
      <c r="F39" t="b">
        <v>0</v>
      </c>
      <c r="G39">
        <v>13</v>
      </c>
      <c r="H39">
        <v>773</v>
      </c>
      <c r="I39">
        <v>786</v>
      </c>
      <c r="J39" t="str" cm="1">
        <f t="array" ref="J39">_xlfn.TEXTJOIN(", ",TRUE,IFERROR(INDEX($N$2:$N$6,SEARCH("1",C39)/2),"NA"),IFERROR(INDEX($N$2:$N$6,SEARCH("1",C39,SEARCH("1",C39)+1)/2)," "))</f>
        <v xml:space="preserve">steering_torque,  </v>
      </c>
      <c r="K39" t="str" cm="1">
        <f t="array" ref="K39">_xlfn.TEXTJOIN(", ",TRUE,IFERROR(INDEX($N$2:$N$6,SEARCH("1",E39)/2),"NA"),IFERROR(INDEX($N$2:$N$6,SEARCH("1",E39,SEARCH("1",E39)+1)/2)," "))</f>
        <v xml:space="preserve">wheel_steering_angle,  </v>
      </c>
    </row>
    <row r="40" spans="1:11" x14ac:dyDescent="0.3">
      <c r="A40">
        <v>180</v>
      </c>
      <c r="B40" t="s">
        <v>73</v>
      </c>
      <c r="C40" t="s">
        <v>24</v>
      </c>
      <c r="D40" t="s">
        <v>67</v>
      </c>
      <c r="E40" t="s">
        <v>17</v>
      </c>
      <c r="F40" t="b">
        <v>0</v>
      </c>
      <c r="G40">
        <v>14</v>
      </c>
      <c r="H40">
        <v>775</v>
      </c>
      <c r="I40">
        <v>789</v>
      </c>
      <c r="J40" t="str" cm="1">
        <f t="array" ref="J40">_xlfn.TEXTJOIN(", ",TRUE,IFERROR(INDEX($N$2:$N$6,SEARCH("1",C40)/2),"NA"),IFERROR(INDEX($N$2:$N$6,SEARCH("1",C40,SEARCH("1",C40)+1)/2)," "))</f>
        <v xml:space="preserve">steering_torque,  </v>
      </c>
      <c r="K40" t="str" cm="1">
        <f t="array" ref="K40">_xlfn.TEXTJOIN(", ",TRUE,IFERROR(INDEX($N$2:$N$6,SEARCH("1",E40)/2),"NA"),IFERROR(INDEX($N$2:$N$6,SEARCH("1",E40,SEARCH("1",E40)+1)/2)," "))</f>
        <v xml:space="preserve">wheel_steering_angle,  </v>
      </c>
    </row>
    <row r="41" spans="1:11" x14ac:dyDescent="0.3">
      <c r="A41">
        <v>188</v>
      </c>
      <c r="B41" t="s">
        <v>74</v>
      </c>
      <c r="C41" t="s">
        <v>24</v>
      </c>
      <c r="D41" t="s">
        <v>67</v>
      </c>
      <c r="E41" t="s">
        <v>17</v>
      </c>
      <c r="F41" t="b">
        <v>0</v>
      </c>
      <c r="G41">
        <v>14</v>
      </c>
      <c r="H41">
        <v>781</v>
      </c>
      <c r="I41">
        <v>795</v>
      </c>
      <c r="J41" t="str" cm="1">
        <f t="array" ref="J41">_xlfn.TEXTJOIN(", ",TRUE,IFERROR(INDEX($N$2:$N$6,SEARCH("1",C41)/2),"NA"),IFERROR(INDEX($N$2:$N$6,SEARCH("1",C41,SEARCH("1",C41)+1)/2)," "))</f>
        <v xml:space="preserve">steering_torque,  </v>
      </c>
      <c r="K41" t="str" cm="1">
        <f t="array" ref="K41">_xlfn.TEXTJOIN(", ",TRUE,IFERROR(INDEX($N$2:$N$6,SEARCH("1",E41)/2),"NA"),IFERROR(INDEX($N$2:$N$6,SEARCH("1",E41,SEARCH("1",E41)+1)/2)," "))</f>
        <v xml:space="preserve">wheel_steering_angle,  </v>
      </c>
    </row>
    <row r="42" spans="1:11" x14ac:dyDescent="0.3">
      <c r="A42">
        <v>192</v>
      </c>
      <c r="B42" t="s">
        <v>75</v>
      </c>
      <c r="C42" t="s">
        <v>24</v>
      </c>
      <c r="D42" t="s">
        <v>54</v>
      </c>
      <c r="E42" t="s">
        <v>17</v>
      </c>
      <c r="F42" t="b">
        <v>0</v>
      </c>
      <c r="G42">
        <v>18</v>
      </c>
      <c r="H42">
        <v>773</v>
      </c>
      <c r="I42">
        <v>791</v>
      </c>
      <c r="J42" t="str" cm="1">
        <f t="array" ref="J42">_xlfn.TEXTJOIN(", ",TRUE,IFERROR(INDEX($N$2:$N$6,SEARCH("1",C42)/2),"NA"),IFERROR(INDEX($N$2:$N$6,SEARCH("1",C42,SEARCH("1",C42)+1)/2)," "))</f>
        <v xml:space="preserve">steering_torque,  </v>
      </c>
      <c r="K42" t="str" cm="1">
        <f t="array" ref="K42">_xlfn.TEXTJOIN(", ",TRUE,IFERROR(INDEX($N$2:$N$6,SEARCH("1",E42)/2),"NA"),IFERROR(INDEX($N$2:$N$6,SEARCH("1",E42,SEARCH("1",E42)+1)/2)," "))</f>
        <v xml:space="preserve">wheel_steering_angle,  </v>
      </c>
    </row>
    <row r="43" spans="1:11" x14ac:dyDescent="0.3">
      <c r="A43">
        <v>194</v>
      </c>
      <c r="B43" t="s">
        <v>76</v>
      </c>
      <c r="C43" t="s">
        <v>24</v>
      </c>
      <c r="D43" t="s">
        <v>67</v>
      </c>
      <c r="E43" t="s">
        <v>17</v>
      </c>
      <c r="F43" t="b">
        <v>0</v>
      </c>
      <c r="G43">
        <v>14</v>
      </c>
      <c r="H43">
        <v>775</v>
      </c>
      <c r="I43">
        <v>789</v>
      </c>
      <c r="J43" t="str" cm="1">
        <f t="array" ref="J43">_xlfn.TEXTJOIN(", ",TRUE,IFERROR(INDEX($N$2:$N$6,SEARCH("1",C43)/2),"NA"),IFERROR(INDEX($N$2:$N$6,SEARCH("1",C43,SEARCH("1",C43)+1)/2)," "))</f>
        <v xml:space="preserve">steering_torque,  </v>
      </c>
      <c r="K43" t="str" cm="1">
        <f t="array" ref="K43">_xlfn.TEXTJOIN(", ",TRUE,IFERROR(INDEX($N$2:$N$6,SEARCH("1",E43)/2),"NA"),IFERROR(INDEX($N$2:$N$6,SEARCH("1",E43,SEARCH("1",E43)+1)/2)," "))</f>
        <v xml:space="preserve">wheel_steering_angle,  </v>
      </c>
    </row>
    <row r="44" spans="1:11" x14ac:dyDescent="0.3">
      <c r="A44">
        <v>195</v>
      </c>
      <c r="B44" t="s">
        <v>77</v>
      </c>
      <c r="C44" t="s">
        <v>24</v>
      </c>
      <c r="D44" t="s">
        <v>69</v>
      </c>
      <c r="E44" t="s">
        <v>17</v>
      </c>
      <c r="F44" t="b">
        <v>0</v>
      </c>
      <c r="G44">
        <v>13</v>
      </c>
      <c r="H44">
        <v>768</v>
      </c>
      <c r="I44">
        <v>781</v>
      </c>
      <c r="J44" t="str" cm="1">
        <f t="array" ref="J44">_xlfn.TEXTJOIN(", ",TRUE,IFERROR(INDEX($N$2:$N$6,SEARCH("1",C44)/2),"NA"),IFERROR(INDEX($N$2:$N$6,SEARCH("1",C44,SEARCH("1",C44)+1)/2)," "))</f>
        <v xml:space="preserve">steering_torque,  </v>
      </c>
      <c r="K44" t="str" cm="1">
        <f t="array" ref="K44">_xlfn.TEXTJOIN(", ",TRUE,IFERROR(INDEX($N$2:$N$6,SEARCH("1",E44)/2),"NA"),IFERROR(INDEX($N$2:$N$6,SEARCH("1",E44,SEARCH("1",E44)+1)/2)," "))</f>
        <v xml:space="preserve">wheel_steering_angle,  </v>
      </c>
    </row>
    <row r="45" spans="1:11" x14ac:dyDescent="0.3">
      <c r="A45">
        <v>202</v>
      </c>
      <c r="B45" t="s">
        <v>78</v>
      </c>
      <c r="C45" t="s">
        <v>24</v>
      </c>
      <c r="D45" t="s">
        <v>67</v>
      </c>
      <c r="E45" t="s">
        <v>17</v>
      </c>
      <c r="F45" t="b">
        <v>0</v>
      </c>
      <c r="G45">
        <v>14</v>
      </c>
      <c r="H45">
        <v>775</v>
      </c>
      <c r="I45">
        <v>789</v>
      </c>
      <c r="J45" t="str" cm="1">
        <f t="array" ref="J45">_xlfn.TEXTJOIN(", ",TRUE,IFERROR(INDEX($N$2:$N$6,SEARCH("1",C45)/2),"NA"),IFERROR(INDEX($N$2:$N$6,SEARCH("1",C45,SEARCH("1",C45)+1)/2)," "))</f>
        <v xml:space="preserve">steering_torque,  </v>
      </c>
      <c r="K45" t="str" cm="1">
        <f t="array" ref="K45">_xlfn.TEXTJOIN(", ",TRUE,IFERROR(INDEX($N$2:$N$6,SEARCH("1",E45)/2),"NA"),IFERROR(INDEX($N$2:$N$6,SEARCH("1",E45,SEARCH("1",E45)+1)/2)," "))</f>
        <v xml:space="preserve">wheel_steering_angle,  </v>
      </c>
    </row>
    <row r="46" spans="1:11" x14ac:dyDescent="0.3">
      <c r="A46">
        <v>206</v>
      </c>
      <c r="B46" t="s">
        <v>79</v>
      </c>
      <c r="C46" t="s">
        <v>24</v>
      </c>
      <c r="D46" t="s">
        <v>80</v>
      </c>
      <c r="E46" t="s">
        <v>46</v>
      </c>
      <c r="F46" t="b">
        <v>0</v>
      </c>
      <c r="G46">
        <v>18</v>
      </c>
      <c r="H46">
        <v>770</v>
      </c>
      <c r="I46">
        <v>788</v>
      </c>
      <c r="J46" t="str" cm="1">
        <f t="array" ref="J46">_xlfn.TEXTJOIN(", ",TRUE,IFERROR(INDEX($N$2:$N$6,SEARCH("1",C46)/2),"NA"),IFERROR(INDEX($N$2:$N$6,SEARCH("1",C46,SEARCH("1",C46)+1)/2)," "))</f>
        <v xml:space="preserve">steering_torque,  </v>
      </c>
      <c r="K46" t="str" cm="1">
        <f t="array" ref="K46">_xlfn.TEXTJOIN(", ",TRUE,IFERROR(INDEX($N$2:$N$6,SEARCH("1",E46)/2),"NA"),IFERROR(INDEX($N$2:$N$6,SEARCH("1",E46,SEARCH("1",E46)+1)/2)," "))</f>
        <v>wheel_steering_angle, wheel_speed</v>
      </c>
    </row>
    <row r="47" spans="1:11" x14ac:dyDescent="0.3">
      <c r="A47">
        <v>207</v>
      </c>
      <c r="B47" t="s">
        <v>81</v>
      </c>
      <c r="C47" t="s">
        <v>24</v>
      </c>
      <c r="D47" t="s">
        <v>67</v>
      </c>
      <c r="E47" t="s">
        <v>17</v>
      </c>
      <c r="F47" t="b">
        <v>0</v>
      </c>
      <c r="G47">
        <v>14</v>
      </c>
      <c r="H47">
        <v>768</v>
      </c>
      <c r="I47">
        <v>782</v>
      </c>
      <c r="J47" t="str" cm="1">
        <f t="array" ref="J47">_xlfn.TEXTJOIN(", ",TRUE,IFERROR(INDEX($N$2:$N$6,SEARCH("1",C47)/2),"NA"),IFERROR(INDEX($N$2:$N$6,SEARCH("1",C47,SEARCH("1",C47)+1)/2)," "))</f>
        <v xml:space="preserve">steering_torque,  </v>
      </c>
      <c r="K47" t="str" cm="1">
        <f t="array" ref="K47">_xlfn.TEXTJOIN(", ",TRUE,IFERROR(INDEX($N$2:$N$6,SEARCH("1",E47)/2),"NA"),IFERROR(INDEX($N$2:$N$6,SEARCH("1",E47,SEARCH("1",E47)+1)/2)," "))</f>
        <v xml:space="preserve">wheel_steering_angle,  </v>
      </c>
    </row>
    <row r="48" spans="1:11" x14ac:dyDescent="0.3">
      <c r="A48">
        <v>208</v>
      </c>
      <c r="B48" t="s">
        <v>82</v>
      </c>
      <c r="C48" t="s">
        <v>24</v>
      </c>
      <c r="D48" t="s">
        <v>83</v>
      </c>
      <c r="E48" t="s">
        <v>39</v>
      </c>
      <c r="F48" t="b">
        <v>0</v>
      </c>
      <c r="G48">
        <v>14</v>
      </c>
      <c r="H48">
        <v>773</v>
      </c>
      <c r="I48">
        <v>787</v>
      </c>
      <c r="J48" t="str" cm="1">
        <f t="array" ref="J48">_xlfn.TEXTJOIN(", ",TRUE,IFERROR(INDEX($N$2:$N$6,SEARCH("1",C48)/2),"NA"),IFERROR(INDEX($N$2:$N$6,SEARCH("1",C48,SEARCH("1",C48)+1)/2)," "))</f>
        <v xml:space="preserve">steering_torque,  </v>
      </c>
      <c r="K48" t="str" cm="1">
        <f t="array" ref="K48">_xlfn.TEXTJOIN(", ",TRUE,IFERROR(INDEX($N$2:$N$6,SEARCH("1",E48)/2),"NA"),IFERROR(INDEX($N$2:$N$6,SEARCH("1",E48,SEARCH("1",E48)+1)/2)," "))</f>
        <v>wheel_steering_angle, steering_torque</v>
      </c>
    </row>
    <row r="49" spans="1:11" x14ac:dyDescent="0.3">
      <c r="A49">
        <v>212</v>
      </c>
      <c r="B49" t="s">
        <v>84</v>
      </c>
      <c r="C49" t="s">
        <v>85</v>
      </c>
      <c r="D49" t="s">
        <v>86</v>
      </c>
      <c r="E49" t="s">
        <v>10</v>
      </c>
      <c r="F49" t="b">
        <v>0</v>
      </c>
      <c r="G49">
        <v>14</v>
      </c>
      <c r="H49">
        <v>782</v>
      </c>
      <c r="I49">
        <v>796</v>
      </c>
      <c r="J49" t="str" cm="1">
        <f t="array" ref="J49">_xlfn.TEXTJOIN(", ",TRUE,IFERROR(INDEX($N$2:$N$6,SEARCH("1",C49)/2),"NA"),IFERROR(INDEX($N$2:$N$6,SEARCH("1",C49,SEARCH("1",C49)+1)/2)," "))</f>
        <v>acceleration_pedal, wheel_steering_angle</v>
      </c>
      <c r="K49" t="str" cm="1">
        <f t="array" ref="K49">_xlfn.TEXTJOIN(", ",TRUE,IFERROR(INDEX($N$2:$N$6,SEARCH("1",E49)/2),"NA"),IFERROR(INDEX($N$2:$N$6,SEARCH("1",E49,SEARCH("1",E49)+1)/2)," "))</f>
        <v xml:space="preserve">acceleration_pedal,  </v>
      </c>
    </row>
    <row r="50" spans="1:11" x14ac:dyDescent="0.3">
      <c r="A50">
        <v>217</v>
      </c>
      <c r="B50" t="s">
        <v>87</v>
      </c>
      <c r="C50" t="s">
        <v>85</v>
      </c>
      <c r="D50" t="s">
        <v>86</v>
      </c>
      <c r="E50" t="s">
        <v>10</v>
      </c>
      <c r="F50" t="b">
        <v>0</v>
      </c>
      <c r="G50">
        <v>14</v>
      </c>
      <c r="H50">
        <v>776</v>
      </c>
      <c r="I50">
        <v>790</v>
      </c>
      <c r="J50" t="str" cm="1">
        <f t="array" ref="J50">_xlfn.TEXTJOIN(", ",TRUE,IFERROR(INDEX($N$2:$N$6,SEARCH("1",C50)/2),"NA"),IFERROR(INDEX($N$2:$N$6,SEARCH("1",C50,SEARCH("1",C50)+1)/2)," "))</f>
        <v>acceleration_pedal, wheel_steering_angle</v>
      </c>
      <c r="K50" t="str" cm="1">
        <f t="array" ref="K50">_xlfn.TEXTJOIN(", ",TRUE,IFERROR(INDEX($N$2:$N$6,SEARCH("1",E50)/2),"NA"),IFERROR(INDEX($N$2:$N$6,SEARCH("1",E50,SEARCH("1",E50)+1)/2)," "))</f>
        <v xml:space="preserve">acceleration_pedal,  </v>
      </c>
    </row>
    <row r="51" spans="1:11" x14ac:dyDescent="0.3">
      <c r="A51">
        <v>222</v>
      </c>
      <c r="B51" t="s">
        <v>88</v>
      </c>
      <c r="C51" t="s">
        <v>85</v>
      </c>
      <c r="D51" t="s">
        <v>86</v>
      </c>
      <c r="E51" t="s">
        <v>10</v>
      </c>
      <c r="F51" t="b">
        <v>0</v>
      </c>
      <c r="G51">
        <v>14</v>
      </c>
      <c r="H51">
        <v>778</v>
      </c>
      <c r="I51">
        <v>792</v>
      </c>
      <c r="J51" t="str" cm="1">
        <f t="array" ref="J51">_xlfn.TEXTJOIN(", ",TRUE,IFERROR(INDEX($N$2:$N$6,SEARCH("1",C51)/2),"NA"),IFERROR(INDEX($N$2:$N$6,SEARCH("1",C51,SEARCH("1",C51)+1)/2)," "))</f>
        <v>acceleration_pedal, wheel_steering_angle</v>
      </c>
      <c r="K51" t="str" cm="1">
        <f t="array" ref="K51">_xlfn.TEXTJOIN(", ",TRUE,IFERROR(INDEX($N$2:$N$6,SEARCH("1",E51)/2),"NA"),IFERROR(INDEX($N$2:$N$6,SEARCH("1",E51,SEARCH("1",E51)+1)/2)," "))</f>
        <v xml:space="preserve">acceleration_pedal,  </v>
      </c>
    </row>
    <row r="52" spans="1:11" x14ac:dyDescent="0.3">
      <c r="A52">
        <v>224</v>
      </c>
      <c r="B52" t="s">
        <v>89</v>
      </c>
      <c r="C52" t="s">
        <v>85</v>
      </c>
      <c r="D52" t="s">
        <v>86</v>
      </c>
      <c r="E52" t="s">
        <v>10</v>
      </c>
      <c r="F52" t="b">
        <v>0</v>
      </c>
      <c r="G52">
        <v>14</v>
      </c>
      <c r="H52">
        <v>774</v>
      </c>
      <c r="I52">
        <v>788</v>
      </c>
      <c r="J52" t="str" cm="1">
        <f t="array" ref="J52">_xlfn.TEXTJOIN(", ",TRUE,IFERROR(INDEX($N$2:$N$6,SEARCH("1",C52)/2),"NA"),IFERROR(INDEX($N$2:$N$6,SEARCH("1",C52,SEARCH("1",C52)+1)/2)," "))</f>
        <v>acceleration_pedal, wheel_steering_angle</v>
      </c>
      <c r="K52" t="str" cm="1">
        <f t="array" ref="K52">_xlfn.TEXTJOIN(", ",TRUE,IFERROR(INDEX($N$2:$N$6,SEARCH("1",E52)/2),"NA"),IFERROR(INDEX($N$2:$N$6,SEARCH("1",E52,SEARCH("1",E52)+1)/2)," "))</f>
        <v xml:space="preserve">acceleration_pedal,  </v>
      </c>
    </row>
    <row r="53" spans="1:11" x14ac:dyDescent="0.3">
      <c r="A53">
        <v>229</v>
      </c>
      <c r="B53" t="s">
        <v>90</v>
      </c>
      <c r="C53" t="s">
        <v>85</v>
      </c>
      <c r="D53" t="s">
        <v>91</v>
      </c>
      <c r="E53" t="s">
        <v>92</v>
      </c>
      <c r="F53" t="b">
        <v>0</v>
      </c>
      <c r="G53">
        <v>14</v>
      </c>
      <c r="H53">
        <v>781</v>
      </c>
      <c r="I53">
        <v>795</v>
      </c>
      <c r="J53" t="str" cm="1">
        <f t="array" ref="J53">_xlfn.TEXTJOIN(", ",TRUE,IFERROR(INDEX($N$2:$N$6,SEARCH("1",C53)/2),"NA"),IFERROR(INDEX($N$2:$N$6,SEARCH("1",C53,SEARCH("1",C53)+1)/2)," "))</f>
        <v>acceleration_pedal, wheel_steering_angle</v>
      </c>
      <c r="K53" t="str" cm="1">
        <f t="array" ref="K53">_xlfn.TEXTJOIN(", ",TRUE,IFERROR(INDEX($N$2:$N$6,SEARCH("1",E53)/2),"NA"),IFERROR(INDEX($N$2:$N$6,SEARCH("1",E53,SEARCH("1",E53)+1)/2)," "))</f>
        <v>acceleration_pedal, steering_torque</v>
      </c>
    </row>
    <row r="54" spans="1:11" x14ac:dyDescent="0.3">
      <c r="A54">
        <v>236</v>
      </c>
      <c r="B54" t="s">
        <v>93</v>
      </c>
      <c r="C54" t="s">
        <v>85</v>
      </c>
      <c r="D54" t="s">
        <v>67</v>
      </c>
      <c r="E54" t="s">
        <v>17</v>
      </c>
      <c r="F54" t="b">
        <v>0</v>
      </c>
      <c r="G54">
        <v>14</v>
      </c>
      <c r="H54">
        <v>776</v>
      </c>
      <c r="I54">
        <v>790</v>
      </c>
      <c r="J54" t="str" cm="1">
        <f t="array" ref="J54">_xlfn.TEXTJOIN(", ",TRUE,IFERROR(INDEX($N$2:$N$6,SEARCH("1",C54)/2),"NA"),IFERROR(INDEX($N$2:$N$6,SEARCH("1",C54,SEARCH("1",C54)+1)/2)," "))</f>
        <v>acceleration_pedal, wheel_steering_angle</v>
      </c>
      <c r="K54" t="str" cm="1">
        <f t="array" ref="K54">_xlfn.TEXTJOIN(", ",TRUE,IFERROR(INDEX($N$2:$N$6,SEARCH("1",E54)/2),"NA"),IFERROR(INDEX($N$2:$N$6,SEARCH("1",E54,SEARCH("1",E54)+1)/2)," "))</f>
        <v xml:space="preserve">wheel_steering_angle,  </v>
      </c>
    </row>
    <row r="55" spans="1:11" x14ac:dyDescent="0.3">
      <c r="A55">
        <v>237</v>
      </c>
      <c r="B55" t="s">
        <v>94</v>
      </c>
      <c r="C55" t="s">
        <v>85</v>
      </c>
      <c r="D55" t="s">
        <v>86</v>
      </c>
      <c r="E55" t="s">
        <v>10</v>
      </c>
      <c r="F55" t="b">
        <v>0</v>
      </c>
      <c r="G55">
        <v>14</v>
      </c>
      <c r="H55">
        <v>774</v>
      </c>
      <c r="I55">
        <v>788</v>
      </c>
      <c r="J55" t="str" cm="1">
        <f t="array" ref="J55">_xlfn.TEXTJOIN(", ",TRUE,IFERROR(INDEX($N$2:$N$6,SEARCH("1",C55)/2),"NA"),IFERROR(INDEX($N$2:$N$6,SEARCH("1",C55,SEARCH("1",C55)+1)/2)," "))</f>
        <v>acceleration_pedal, wheel_steering_angle</v>
      </c>
      <c r="K55" t="str" cm="1">
        <f t="array" ref="K55">_xlfn.TEXTJOIN(", ",TRUE,IFERROR(INDEX($N$2:$N$6,SEARCH("1",E55)/2),"NA"),IFERROR(INDEX($N$2:$N$6,SEARCH("1",E55,SEARCH("1",E55)+1)/2)," "))</f>
        <v xml:space="preserve">acceleration_pedal,  </v>
      </c>
    </row>
    <row r="56" spans="1:11" x14ac:dyDescent="0.3">
      <c r="A56">
        <v>238</v>
      </c>
      <c r="B56" t="s">
        <v>95</v>
      </c>
      <c r="C56" t="s">
        <v>85</v>
      </c>
      <c r="D56" t="s">
        <v>91</v>
      </c>
      <c r="E56" t="s">
        <v>92</v>
      </c>
      <c r="F56" t="b">
        <v>0</v>
      </c>
      <c r="G56">
        <v>14</v>
      </c>
      <c r="H56">
        <v>782</v>
      </c>
      <c r="I56">
        <v>796</v>
      </c>
      <c r="J56" t="str" cm="1">
        <f t="array" ref="J56">_xlfn.TEXTJOIN(", ",TRUE,IFERROR(INDEX($N$2:$N$6,SEARCH("1",C56)/2),"NA"),IFERROR(INDEX($N$2:$N$6,SEARCH("1",C56,SEARCH("1",C56)+1)/2)," "))</f>
        <v>acceleration_pedal, wheel_steering_angle</v>
      </c>
      <c r="K56" t="str" cm="1">
        <f t="array" ref="K56">_xlfn.TEXTJOIN(", ",TRUE,IFERROR(INDEX($N$2:$N$6,SEARCH("1",E56)/2),"NA"),IFERROR(INDEX($N$2:$N$6,SEARCH("1",E56,SEARCH("1",E56)+1)/2)," "))</f>
        <v>acceleration_pedal, steering_torque</v>
      </c>
    </row>
    <row r="57" spans="1:11" x14ac:dyDescent="0.3">
      <c r="A57">
        <v>246</v>
      </c>
      <c r="B57" t="s">
        <v>96</v>
      </c>
      <c r="C57" t="s">
        <v>85</v>
      </c>
      <c r="D57" t="s">
        <v>67</v>
      </c>
      <c r="E57" t="s">
        <v>17</v>
      </c>
      <c r="F57" t="b">
        <v>0</v>
      </c>
      <c r="G57">
        <v>14</v>
      </c>
      <c r="H57">
        <v>779</v>
      </c>
      <c r="I57">
        <v>793</v>
      </c>
      <c r="J57" t="str" cm="1">
        <f t="array" ref="J57">_xlfn.TEXTJOIN(", ",TRUE,IFERROR(INDEX($N$2:$N$6,SEARCH("1",C57)/2),"NA"),IFERROR(INDEX($N$2:$N$6,SEARCH("1",C57,SEARCH("1",C57)+1)/2)," "))</f>
        <v>acceleration_pedal, wheel_steering_angle</v>
      </c>
      <c r="K57" t="str" cm="1">
        <f t="array" ref="K57">_xlfn.TEXTJOIN(", ",TRUE,IFERROR(INDEX($N$2:$N$6,SEARCH("1",E57)/2),"NA"),IFERROR(INDEX($N$2:$N$6,SEARCH("1",E57,SEARCH("1",E57)+1)/2)," "))</f>
        <v xml:space="preserve">wheel_steering_angle,  </v>
      </c>
    </row>
    <row r="58" spans="1:11" x14ac:dyDescent="0.3">
      <c r="A58">
        <v>247</v>
      </c>
      <c r="B58" t="s">
        <v>97</v>
      </c>
      <c r="C58" t="s">
        <v>85</v>
      </c>
      <c r="D58" t="s">
        <v>69</v>
      </c>
      <c r="E58" t="s">
        <v>17</v>
      </c>
      <c r="F58" t="b">
        <v>0</v>
      </c>
      <c r="G58">
        <v>13</v>
      </c>
      <c r="H58">
        <v>778</v>
      </c>
      <c r="I58">
        <v>791</v>
      </c>
      <c r="J58" t="str" cm="1">
        <f t="array" ref="J58">_xlfn.TEXTJOIN(", ",TRUE,IFERROR(INDEX($N$2:$N$6,SEARCH("1",C58)/2),"NA"),IFERROR(INDEX($N$2:$N$6,SEARCH("1",C58,SEARCH("1",C58)+1)/2)," "))</f>
        <v>acceleration_pedal, wheel_steering_angle</v>
      </c>
      <c r="K58" t="str" cm="1">
        <f t="array" ref="K58">_xlfn.TEXTJOIN(", ",TRUE,IFERROR(INDEX($N$2:$N$6,SEARCH("1",E58)/2),"NA"),IFERROR(INDEX($N$2:$N$6,SEARCH("1",E58,SEARCH("1",E58)+1)/2)," "))</f>
        <v xml:space="preserve">wheel_steering_angle,  </v>
      </c>
    </row>
    <row r="59" spans="1:11" x14ac:dyDescent="0.3">
      <c r="A59">
        <v>248</v>
      </c>
      <c r="B59" t="s">
        <v>98</v>
      </c>
      <c r="C59" t="s">
        <v>85</v>
      </c>
      <c r="D59" t="s">
        <v>67</v>
      </c>
      <c r="E59" t="s">
        <v>17</v>
      </c>
      <c r="F59" t="b">
        <v>0</v>
      </c>
      <c r="G59">
        <v>14</v>
      </c>
      <c r="H59">
        <v>777</v>
      </c>
      <c r="I59">
        <v>791</v>
      </c>
      <c r="J59" t="str" cm="1">
        <f t="array" ref="J59">_xlfn.TEXTJOIN(", ",TRUE,IFERROR(INDEX($N$2:$N$6,SEARCH("1",C59)/2),"NA"),IFERROR(INDEX($N$2:$N$6,SEARCH("1",C59,SEARCH("1",C59)+1)/2)," "))</f>
        <v>acceleration_pedal, wheel_steering_angle</v>
      </c>
      <c r="K59" t="str" cm="1">
        <f t="array" ref="K59">_xlfn.TEXTJOIN(", ",TRUE,IFERROR(INDEX($N$2:$N$6,SEARCH("1",E59)/2),"NA"),IFERROR(INDEX($N$2:$N$6,SEARCH("1",E59,SEARCH("1",E59)+1)/2)," "))</f>
        <v xml:space="preserve">wheel_steering_angle,  </v>
      </c>
    </row>
    <row r="60" spans="1:11" x14ac:dyDescent="0.3">
      <c r="A60">
        <v>249</v>
      </c>
      <c r="B60" t="s">
        <v>99</v>
      </c>
      <c r="C60" t="s">
        <v>85</v>
      </c>
      <c r="D60" t="s">
        <v>86</v>
      </c>
      <c r="E60" t="s">
        <v>10</v>
      </c>
      <c r="F60" t="b">
        <v>0</v>
      </c>
      <c r="G60">
        <v>14</v>
      </c>
      <c r="H60">
        <v>781</v>
      </c>
      <c r="I60">
        <v>795</v>
      </c>
      <c r="J60" t="str" cm="1">
        <f t="array" ref="J60">_xlfn.TEXTJOIN(", ",TRUE,IFERROR(INDEX($N$2:$N$6,SEARCH("1",C60)/2),"NA"),IFERROR(INDEX($N$2:$N$6,SEARCH("1",C60,SEARCH("1",C60)+1)/2)," "))</f>
        <v>acceleration_pedal, wheel_steering_angle</v>
      </c>
      <c r="K60" t="str" cm="1">
        <f t="array" ref="K60">_xlfn.TEXTJOIN(", ",TRUE,IFERROR(INDEX($N$2:$N$6,SEARCH("1",E60)/2),"NA"),IFERROR(INDEX($N$2:$N$6,SEARCH("1",E60,SEARCH("1",E60)+1)/2)," "))</f>
        <v xml:space="preserve">acceleration_pedal,  </v>
      </c>
    </row>
    <row r="61" spans="1:11" x14ac:dyDescent="0.3">
      <c r="A61">
        <v>250</v>
      </c>
      <c r="B61" t="s">
        <v>100</v>
      </c>
      <c r="C61" t="s">
        <v>85</v>
      </c>
      <c r="D61" t="s">
        <v>67</v>
      </c>
      <c r="E61" t="s">
        <v>17</v>
      </c>
      <c r="F61" t="b">
        <v>0</v>
      </c>
      <c r="G61">
        <v>14</v>
      </c>
      <c r="H61">
        <v>775</v>
      </c>
      <c r="I61">
        <v>789</v>
      </c>
      <c r="J61" t="str" cm="1">
        <f t="array" ref="J61">_xlfn.TEXTJOIN(", ",TRUE,IFERROR(INDEX($N$2:$N$6,SEARCH("1",C61)/2),"NA"),IFERROR(INDEX($N$2:$N$6,SEARCH("1",C61,SEARCH("1",C61)+1)/2)," "))</f>
        <v>acceleration_pedal, wheel_steering_angle</v>
      </c>
      <c r="K61" t="str" cm="1">
        <f t="array" ref="K61">_xlfn.TEXTJOIN(", ",TRUE,IFERROR(INDEX($N$2:$N$6,SEARCH("1",E61)/2),"NA"),IFERROR(INDEX($N$2:$N$6,SEARCH("1",E61,SEARCH("1",E61)+1)/2)," "))</f>
        <v xml:space="preserve">wheel_steering_angle,  </v>
      </c>
    </row>
    <row r="62" spans="1:11" x14ac:dyDescent="0.3">
      <c r="A62">
        <v>252</v>
      </c>
      <c r="B62" t="s">
        <v>101</v>
      </c>
      <c r="C62" t="s">
        <v>85</v>
      </c>
      <c r="D62" t="s">
        <v>86</v>
      </c>
      <c r="E62" t="s">
        <v>10</v>
      </c>
      <c r="F62" t="b">
        <v>0</v>
      </c>
      <c r="G62">
        <v>14</v>
      </c>
      <c r="H62">
        <v>774</v>
      </c>
      <c r="I62">
        <v>788</v>
      </c>
      <c r="J62" t="str" cm="1">
        <f t="array" ref="J62">_xlfn.TEXTJOIN(", ",TRUE,IFERROR(INDEX($N$2:$N$6,SEARCH("1",C62)/2),"NA"),IFERROR(INDEX($N$2:$N$6,SEARCH("1",C62,SEARCH("1",C62)+1)/2)," "))</f>
        <v>acceleration_pedal, wheel_steering_angle</v>
      </c>
      <c r="K62" t="str" cm="1">
        <f t="array" ref="K62">_xlfn.TEXTJOIN(", ",TRUE,IFERROR(INDEX($N$2:$N$6,SEARCH("1",E62)/2),"NA"),IFERROR(INDEX($N$2:$N$6,SEARCH("1",E62,SEARCH("1",E62)+1)/2)," "))</f>
        <v xml:space="preserve">acceleration_pedal,  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Hatahet</cp:lastModifiedBy>
  <dcterms:created xsi:type="dcterms:W3CDTF">2024-08-07T09:08:27Z</dcterms:created>
  <dcterms:modified xsi:type="dcterms:W3CDTF">2024-08-09T08:38:56Z</dcterms:modified>
</cp:coreProperties>
</file>